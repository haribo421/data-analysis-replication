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80" documentId="8_{8958EA43-B91C-4F8E-9566-2957F297E57C}" xr6:coauthVersionLast="47" xr6:coauthVersionMax="47" xr10:uidLastSave="{016DFC7F-9FFD-4C16-9AC0-B21706306117}"/>
  <bookViews>
    <workbookView xWindow="28680" yWindow="-120" windowWidth="29040" windowHeight="15840" xr2:uid="{97DA75C9-7021-46D5-B823-12A5B1064C82}"/>
  </bookViews>
  <sheets>
    <sheet name="Trial-level data" sheetId="2" r:id="rId1"/>
    <sheet name="Participant-level summary data" sheetId="5" r:id="rId2"/>
    <sheet name="Characteristics of videos" sheetId="3" r:id="rId3"/>
  </sheets>
  <definedNames>
    <definedName name="_xlnm._FilterDatabase" localSheetId="1" hidden="1">'Participant-level summary data'!$A$1:$Q$1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5" l="1"/>
  <c r="L22" i="5"/>
  <c r="K23" i="5"/>
  <c r="L23" i="5"/>
  <c r="J23" i="5"/>
  <c r="I23" i="5"/>
  <c r="J22" i="5"/>
  <c r="I22" i="5"/>
  <c r="G23" i="5"/>
  <c r="G22" i="5"/>
  <c r="C22" i="5"/>
  <c r="C23" i="5"/>
  <c r="B23" i="5"/>
  <c r="B22" i="5"/>
  <c r="E2" i="5"/>
  <c r="H2" i="5" s="1"/>
  <c r="F2" i="5"/>
  <c r="M2" i="5"/>
  <c r="N2" i="5"/>
  <c r="E3" i="5"/>
  <c r="H3" i="5" s="1"/>
  <c r="F3" i="5"/>
  <c r="M3" i="5"/>
  <c r="N3" i="5"/>
  <c r="E4" i="5"/>
  <c r="F4" i="5"/>
  <c r="H4" i="5"/>
  <c r="M4" i="5"/>
  <c r="N4" i="5"/>
  <c r="E5" i="5"/>
  <c r="H5" i="5" s="1"/>
  <c r="F5" i="5"/>
  <c r="M5" i="5"/>
  <c r="N5" i="5"/>
  <c r="E6" i="5"/>
  <c r="F6" i="5"/>
  <c r="H6" i="5"/>
  <c r="M6" i="5"/>
  <c r="O6" i="5" s="1"/>
  <c r="N6" i="5"/>
  <c r="P6" i="5"/>
  <c r="E7" i="5"/>
  <c r="H7" i="5" s="1"/>
  <c r="F7" i="5"/>
  <c r="M7" i="5"/>
  <c r="N7" i="5"/>
  <c r="E8" i="5"/>
  <c r="H8" i="5" s="1"/>
  <c r="F8" i="5"/>
  <c r="M8" i="5"/>
  <c r="N8" i="5"/>
  <c r="E9" i="5"/>
  <c r="H9" i="5" s="1"/>
  <c r="F9" i="5"/>
  <c r="M9" i="5"/>
  <c r="N9" i="5"/>
  <c r="E10" i="5"/>
  <c r="H10" i="5" s="1"/>
  <c r="F10" i="5"/>
  <c r="M10" i="5"/>
  <c r="N10" i="5"/>
  <c r="P10" i="5"/>
  <c r="E11" i="5"/>
  <c r="H11" i="5" s="1"/>
  <c r="F11" i="5"/>
  <c r="M11" i="5"/>
  <c r="N11" i="5"/>
  <c r="E12" i="5"/>
  <c r="H12" i="5" s="1"/>
  <c r="F12" i="5"/>
  <c r="M12" i="5"/>
  <c r="N12" i="5"/>
  <c r="E13" i="5"/>
  <c r="F13" i="5"/>
  <c r="H13" i="5"/>
  <c r="M13" i="5"/>
  <c r="N13" i="5"/>
  <c r="O13" i="5"/>
  <c r="E14" i="5"/>
  <c r="H14" i="5" s="1"/>
  <c r="F14" i="5"/>
  <c r="M14" i="5"/>
  <c r="N14" i="5"/>
  <c r="E15" i="5"/>
  <c r="H15" i="5" s="1"/>
  <c r="F15" i="5"/>
  <c r="M15" i="5"/>
  <c r="N15" i="5"/>
  <c r="O15" i="5" s="1"/>
  <c r="E16" i="5"/>
  <c r="H16" i="5" s="1"/>
  <c r="F16" i="5"/>
  <c r="M16" i="5"/>
  <c r="N16" i="5"/>
  <c r="O16" i="5"/>
  <c r="E17" i="5"/>
  <c r="H17" i="5" s="1"/>
  <c r="F17" i="5"/>
  <c r="M17" i="5"/>
  <c r="N17" i="5"/>
  <c r="E18" i="5"/>
  <c r="H18" i="5" s="1"/>
  <c r="F18" i="5"/>
  <c r="M18" i="5"/>
  <c r="N18" i="5"/>
  <c r="O18" i="5"/>
  <c r="P18" i="5"/>
  <c r="E19" i="5"/>
  <c r="H19" i="5" s="1"/>
  <c r="F19" i="5"/>
  <c r="M19" i="5"/>
  <c r="N19" i="5"/>
  <c r="E20" i="5"/>
  <c r="H20" i="5" s="1"/>
  <c r="F20" i="5"/>
  <c r="M20" i="5"/>
  <c r="N20" i="5"/>
  <c r="E21" i="5"/>
  <c r="H21" i="5" s="1"/>
  <c r="F21" i="5"/>
  <c r="M21" i="5"/>
  <c r="N21" i="5"/>
  <c r="R22" i="5"/>
  <c r="S22" i="5"/>
  <c r="T22" i="5"/>
  <c r="U22" i="5"/>
  <c r="V22" i="5"/>
  <c r="W22" i="5"/>
  <c r="X22" i="5"/>
  <c r="Y22" i="5"/>
  <c r="Z22" i="5"/>
  <c r="AA22" i="5"/>
  <c r="AB22" i="5"/>
  <c r="R23" i="5"/>
  <c r="S23" i="5"/>
  <c r="T23" i="5"/>
  <c r="U23" i="5"/>
  <c r="V23" i="5"/>
  <c r="W23" i="5"/>
  <c r="X23" i="5"/>
  <c r="Y23" i="5"/>
  <c r="Z23" i="5"/>
  <c r="AA23" i="5"/>
  <c r="AB23" i="5"/>
  <c r="C28" i="3"/>
  <c r="C29" i="3"/>
  <c r="B29" i="3"/>
  <c r="B28" i="3"/>
  <c r="B27" i="3"/>
  <c r="C27" i="3"/>
  <c r="C26" i="3"/>
  <c r="B26" i="3"/>
  <c r="Q18" i="5" l="1"/>
  <c r="O11" i="5"/>
  <c r="F23" i="5"/>
  <c r="F22" i="5"/>
  <c r="H23" i="5"/>
  <c r="E22" i="5"/>
  <c r="O14" i="5"/>
  <c r="O17" i="5"/>
  <c r="E23" i="5"/>
  <c r="O20" i="5"/>
  <c r="P16" i="5"/>
  <c r="Q16" i="5" s="1"/>
  <c r="O2" i="5"/>
  <c r="O8" i="5"/>
  <c r="O9" i="5"/>
  <c r="P2" i="5"/>
  <c r="Q2" i="5" s="1"/>
  <c r="P8" i="5"/>
  <c r="O4" i="5"/>
  <c r="O12" i="5"/>
  <c r="Q6" i="5"/>
  <c r="O19" i="5"/>
  <c r="P14" i="5"/>
  <c r="O3" i="5"/>
  <c r="P21" i="5"/>
  <c r="P5" i="5"/>
  <c r="O10" i="5"/>
  <c r="Q10" i="5" s="1"/>
  <c r="P20" i="5"/>
  <c r="Q20" i="5" s="1"/>
  <c r="P4" i="5"/>
  <c r="P13" i="5"/>
  <c r="Q13" i="5" s="1"/>
  <c r="P17" i="5"/>
  <c r="Q17" i="5" s="1"/>
  <c r="P9" i="5"/>
  <c r="Q9" i="5" s="1"/>
  <c r="P11" i="5"/>
  <c r="Q11" i="5" s="1"/>
  <c r="H22" i="5"/>
  <c r="P15" i="5"/>
  <c r="Q15" i="5" s="1"/>
  <c r="P12" i="5"/>
  <c r="N22" i="5"/>
  <c r="O21" i="5"/>
  <c r="P19" i="5"/>
  <c r="O5" i="5"/>
  <c r="M22" i="5"/>
  <c r="P7" i="5"/>
  <c r="O7" i="5"/>
  <c r="Q7" i="5" s="1"/>
  <c r="P3" i="5"/>
  <c r="M23" i="5"/>
  <c r="N23" i="5"/>
  <c r="Q8" i="5" l="1"/>
  <c r="Q19" i="5"/>
  <c r="Q14" i="5"/>
  <c r="Q5" i="5"/>
  <c r="Q12" i="5"/>
  <c r="Q4" i="5"/>
  <c r="Q21" i="5"/>
  <c r="P23" i="5"/>
  <c r="O23" i="5"/>
  <c r="O22" i="5"/>
  <c r="Q3" i="5"/>
  <c r="P22" i="5"/>
  <c r="Q23" i="5" l="1"/>
  <c r="Q22" i="5"/>
</calcChain>
</file>

<file path=xl/sharedStrings.xml><?xml version="1.0" encoding="utf-8"?>
<sst xmlns="http://schemas.openxmlformats.org/spreadsheetml/2006/main" count="1489" uniqueCount="140">
  <si>
    <t>BB</t>
  </si>
  <si>
    <t>BHB</t>
  </si>
  <si>
    <t>BBB</t>
  </si>
  <si>
    <t>HHH</t>
  </si>
  <si>
    <t>BOBBH</t>
  </si>
  <si>
    <t>BBH</t>
  </si>
  <si>
    <t>HOO</t>
  </si>
  <si>
    <t>HH</t>
  </si>
  <si>
    <t>H</t>
  </si>
  <si>
    <t>HO</t>
  </si>
  <si>
    <t>HB</t>
  </si>
  <si>
    <t>HOH</t>
  </si>
  <si>
    <t>HR</t>
  </si>
  <si>
    <t>BH</t>
  </si>
  <si>
    <t>BHO</t>
  </si>
  <si>
    <t>B</t>
  </si>
  <si>
    <t>OHH</t>
  </si>
  <si>
    <t>BRBR</t>
  </si>
  <si>
    <t>BOH</t>
  </si>
  <si>
    <t>BBRO</t>
  </si>
  <si>
    <t>BBBH</t>
  </si>
  <si>
    <t>BBBR</t>
  </si>
  <si>
    <t>BBHR</t>
  </si>
  <si>
    <t>OBH</t>
  </si>
  <si>
    <t>BBO</t>
  </si>
  <si>
    <t>HBO</t>
  </si>
  <si>
    <t>BBR</t>
  </si>
  <si>
    <t>HBRH</t>
  </si>
  <si>
    <t>BHBRH</t>
  </si>
  <si>
    <t>BBBBH</t>
  </si>
  <si>
    <t>HBR</t>
  </si>
  <si>
    <t>BO</t>
  </si>
  <si>
    <t>OO</t>
  </si>
  <si>
    <t>OB</t>
  </si>
  <si>
    <t>O</t>
  </si>
  <si>
    <t>BBRH</t>
  </si>
  <si>
    <t>BRH</t>
  </si>
  <si>
    <t>HBBH</t>
  </si>
  <si>
    <t>BR</t>
  </si>
  <si>
    <t>BBHH</t>
  </si>
  <si>
    <t>BBBRH</t>
  </si>
  <si>
    <t>RBH</t>
  </si>
  <si>
    <t>BHH</t>
  </si>
  <si>
    <t>BBOH</t>
  </si>
  <si>
    <t>BBBOO</t>
  </si>
  <si>
    <t>BBBBRH</t>
  </si>
  <si>
    <t>BHR</t>
  </si>
  <si>
    <t>BBOBH</t>
  </si>
  <si>
    <t>OBRH</t>
  </si>
  <si>
    <t>HHO</t>
  </si>
  <si>
    <t>BRHH</t>
  </si>
  <si>
    <t>OBRR</t>
  </si>
  <si>
    <t>BHOH</t>
  </si>
  <si>
    <t>BBBB</t>
  </si>
  <si>
    <t>BBBBO</t>
  </si>
  <si>
    <t>BBHB</t>
  </si>
  <si>
    <t>BHHR</t>
  </si>
  <si>
    <t>BBBBR</t>
  </si>
  <si>
    <t>BHRH</t>
  </si>
  <si>
    <t>BBBHH</t>
  </si>
  <si>
    <t>BRB</t>
  </si>
  <si>
    <t>HBBB</t>
  </si>
  <si>
    <t>OBB</t>
  </si>
  <si>
    <t>BBBBB</t>
  </si>
  <si>
    <t>BBHO</t>
  </si>
  <si>
    <t>HBB</t>
  </si>
  <si>
    <t>BBRHH</t>
  </si>
  <si>
    <t>OBBO</t>
  </si>
  <si>
    <t>HBH</t>
  </si>
  <si>
    <t>OHB</t>
  </si>
  <si>
    <t>BRHR</t>
  </si>
  <si>
    <t>BHHHOR</t>
  </si>
  <si>
    <t>BRR</t>
  </si>
  <si>
    <t>ID</t>
    <phoneticPr fontId="18"/>
  </si>
  <si>
    <t>ParticipantID</t>
    <phoneticPr fontId="18"/>
  </si>
  <si>
    <t>StimID</t>
    <phoneticPr fontId="18"/>
  </si>
  <si>
    <t>GazeB</t>
    <phoneticPr fontId="18"/>
  </si>
  <si>
    <t>GazeR</t>
    <phoneticPr fontId="18"/>
  </si>
  <si>
    <t>GazeH</t>
    <phoneticPr fontId="18"/>
  </si>
  <si>
    <t>GazeO</t>
    <phoneticPr fontId="18"/>
  </si>
  <si>
    <t>BOBH</t>
  </si>
  <si>
    <t>OH</t>
  </si>
  <si>
    <t>Number of transitions between AOIs</t>
    <phoneticPr fontId="18"/>
  </si>
  <si>
    <t>BRO</t>
  </si>
  <si>
    <t>OBO</t>
  </si>
  <si>
    <t>OBR</t>
  </si>
  <si>
    <t>BHOR</t>
  </si>
  <si>
    <t>Classification</t>
    <phoneticPr fontId="18"/>
  </si>
  <si>
    <t>Omission error</t>
    <phoneticPr fontId="18"/>
  </si>
  <si>
    <t>Hit</t>
  </si>
  <si>
    <t>Miss</t>
  </si>
  <si>
    <t>FA</t>
  </si>
  <si>
    <t>CR</t>
  </si>
  <si>
    <t>Mean</t>
    <phoneticPr fontId="18"/>
  </si>
  <si>
    <t>SD</t>
    <phoneticPr fontId="18"/>
  </si>
  <si>
    <t>Time from the third baseman’s catch to the catcher’s catch (sec)</t>
    <phoneticPr fontId="18"/>
  </si>
  <si>
    <t>The time from bat–ball contact to the third baseman’s catch (sec)</t>
    <phoneticPr fontId="18"/>
  </si>
  <si>
    <t>Answer (4:home plate, 1:first base)</t>
    <phoneticPr fontId="18"/>
  </si>
  <si>
    <t>Max</t>
    <phoneticPr fontId="18"/>
  </si>
  <si>
    <t>Min</t>
    <phoneticPr fontId="18"/>
  </si>
  <si>
    <t>Decision time (sec)</t>
    <phoneticPr fontId="18"/>
  </si>
  <si>
    <t>#</t>
    <phoneticPr fontId="18"/>
  </si>
  <si>
    <t>Response by participant (4:home plate, 1:first base)</t>
    <phoneticPr fontId="18"/>
  </si>
  <si>
    <t>Result (1:Correct, 0:Incorrect)</t>
    <phoneticPr fontId="18"/>
  </si>
  <si>
    <t>SD</t>
    <phoneticPr fontId="18"/>
  </si>
  <si>
    <t>Mean</t>
    <phoneticPr fontId="18"/>
  </si>
  <si>
    <t>Number of fixations per trial</t>
    <phoneticPr fontId="18"/>
  </si>
  <si>
    <t>β</t>
    <phoneticPr fontId="18"/>
  </si>
  <si>
    <t>c</t>
    <phoneticPr fontId="18"/>
  </si>
  <si>
    <t>d'</t>
    <phoneticPr fontId="18"/>
  </si>
  <si>
    <t>FA Ratio</t>
    <phoneticPr fontId="18"/>
  </si>
  <si>
    <t>Hit Ratio</t>
    <phoneticPr fontId="18"/>
  </si>
  <si>
    <t>CR</t>
    <phoneticPr fontId="18"/>
  </si>
  <si>
    <t>FA</t>
    <phoneticPr fontId="18"/>
  </si>
  <si>
    <t>Miss</t>
    <phoneticPr fontId="18"/>
  </si>
  <si>
    <t>Hit</t>
    <phoneticPr fontId="18"/>
  </si>
  <si>
    <t>Decision accuracy</t>
    <phoneticPr fontId="18"/>
  </si>
  <si>
    <t>Omission error trials</t>
    <phoneticPr fontId="18"/>
  </si>
  <si>
    <t>Incorrect trials</t>
    <phoneticPr fontId="18"/>
  </si>
  <si>
    <t>Correct trials</t>
    <phoneticPr fontId="18"/>
  </si>
  <si>
    <t>Number of fixations per trial</t>
    <phoneticPr fontId="18"/>
  </si>
  <si>
    <t>Confidence rating</t>
  </si>
  <si>
    <t>age</t>
    <phoneticPr fontId="18"/>
  </si>
  <si>
    <t>years of baseball experience</t>
    <phoneticPr fontId="18"/>
  </si>
  <si>
    <t>Catcher's tag time - Runner's home arrival time</t>
    <phoneticPr fontId="18"/>
  </si>
  <si>
    <t>Decision time (sec)_All trials</t>
    <phoneticPr fontId="18"/>
  </si>
  <si>
    <t>Decision time (sec)_Correct trials</t>
    <phoneticPr fontId="18"/>
  </si>
  <si>
    <t>Decision time (sec)_Incorrect trials</t>
    <phoneticPr fontId="18"/>
  </si>
  <si>
    <t>Confidence rating_All trials</t>
    <phoneticPr fontId="18"/>
  </si>
  <si>
    <t>Confidence rating_Correct trials</t>
    <phoneticPr fontId="18"/>
  </si>
  <si>
    <t>Confidence rating_Incorrect trials</t>
    <phoneticPr fontId="18"/>
  </si>
  <si>
    <t>Proportion of viewing time spent on ball (B)</t>
    <phoneticPr fontId="18"/>
  </si>
  <si>
    <t>Proportion of viewing time spent on home plate (H)</t>
    <phoneticPr fontId="18"/>
  </si>
  <si>
    <t xml:space="preserve">Proportion of viewing time spent on runner (R) </t>
    <phoneticPr fontId="18"/>
  </si>
  <si>
    <t>Position</t>
    <phoneticPr fontId="18"/>
  </si>
  <si>
    <t>Outfielder</t>
    <phoneticPr fontId="18"/>
  </si>
  <si>
    <t>Infielder</t>
    <phoneticPr fontId="18"/>
  </si>
  <si>
    <t>Decision time ratio</t>
    <phoneticPr fontId="18"/>
  </si>
  <si>
    <t>Gaze behavior, including fixations within each AOI</t>
    <phoneticPr fontId="18"/>
  </si>
  <si>
    <r>
      <t xml:space="preserve">Gaze </t>
    </r>
    <r>
      <rPr>
        <sz val="11"/>
        <color rgb="FFFF0000"/>
        <rFont val="游ゴシック"/>
        <family val="3"/>
        <charset val="128"/>
        <scheme val="minor"/>
      </rPr>
      <t>transition</t>
    </r>
    <r>
      <rPr>
        <sz val="11"/>
        <color theme="1"/>
        <rFont val="游ゴシック"/>
        <family val="2"/>
        <charset val="128"/>
        <scheme val="minor"/>
      </rPr>
      <t xml:space="preserve"> patterns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</si>
</sst>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_ "/>
    <numFmt numFmtId="178" formatCode="0.000_ "/>
    <numFmt numFmtId="179" formatCode="0.00_ "/>
    <numFmt numFmtId="180" formatCode="0.0%"/>
    <numFmt numFmtId="181" formatCode="0_);[Red]\(0\)"/>
    <numFmt numFmtId="182" formatCode="0.0_ 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11" xfId="0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11" xfId="0" applyNumberFormat="1" applyBorder="1">
      <alignment vertical="center"/>
    </xf>
    <xf numFmtId="179" fontId="0" fillId="0" borderId="11" xfId="0" applyNumberFormat="1" applyBorder="1" applyAlignment="1">
      <alignment horizontal="right" vertical="center"/>
    </xf>
    <xf numFmtId="179" fontId="20" fillId="0" borderId="11" xfId="0" applyNumberFormat="1" applyFont="1" applyBorder="1" applyAlignment="1">
      <alignment horizontal="right" vertical="center"/>
    </xf>
    <xf numFmtId="178" fontId="20" fillId="0" borderId="11" xfId="0" applyNumberFormat="1" applyFont="1" applyBorder="1" applyAlignment="1">
      <alignment horizontal="right" vertical="center"/>
    </xf>
    <xf numFmtId="181" fontId="20" fillId="0" borderId="11" xfId="0" applyNumberFormat="1" applyFont="1" applyBorder="1" applyAlignment="1">
      <alignment horizontal="right" vertical="center"/>
    </xf>
    <xf numFmtId="180" fontId="20" fillId="0" borderId="11" xfId="1" applyNumberFormat="1" applyFont="1" applyBorder="1" applyAlignment="1">
      <alignment horizontal="right" vertical="center"/>
    </xf>
    <xf numFmtId="180" fontId="20" fillId="0" borderId="0" xfId="1" applyNumberFormat="1" applyFont="1" applyBorder="1" applyAlignment="1">
      <alignment horizontal="right" vertical="center"/>
    </xf>
    <xf numFmtId="179" fontId="0" fillId="33" borderId="11" xfId="0" applyNumberFormat="1" applyFill="1" applyBorder="1" applyAlignment="1">
      <alignment horizontal="right" vertical="center"/>
    </xf>
    <xf numFmtId="181" fontId="20" fillId="33" borderId="11" xfId="0" applyNumberFormat="1" applyFont="1" applyFill="1" applyBorder="1" applyAlignment="1">
      <alignment horizontal="right" vertical="center"/>
    </xf>
    <xf numFmtId="179" fontId="20" fillId="33" borderId="11" xfId="0" applyNumberFormat="1" applyFont="1" applyFill="1" applyBorder="1" applyAlignment="1">
      <alignment horizontal="right" vertical="center"/>
    </xf>
    <xf numFmtId="179" fontId="0" fillId="33" borderId="11" xfId="0" applyNumberFormat="1" applyFill="1" applyBorder="1">
      <alignment vertical="center"/>
    </xf>
    <xf numFmtId="0" fontId="19" fillId="33" borderId="10" xfId="0" applyFont="1" applyFill="1" applyBorder="1" applyAlignment="1">
      <alignment vertical="center" shrinkToFit="1"/>
    </xf>
    <xf numFmtId="0" fontId="19" fillId="0" borderId="10" xfId="0" applyFont="1" applyBorder="1" applyAlignment="1">
      <alignment vertical="center" shrinkToFit="1"/>
    </xf>
    <xf numFmtId="0" fontId="19" fillId="0" borderId="10" xfId="0" applyFont="1" applyBorder="1" applyAlignment="1">
      <alignment horizontal="center" vertical="center" shrinkToFit="1"/>
    </xf>
    <xf numFmtId="0" fontId="19" fillId="33" borderId="10" xfId="0" applyFont="1" applyFill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19" fillId="33" borderId="13" xfId="0" applyFont="1" applyFill="1" applyBorder="1" applyAlignment="1">
      <alignment horizontal="right" vertical="center"/>
    </xf>
    <xf numFmtId="181" fontId="20" fillId="0" borderId="0" xfId="0" applyNumberFormat="1" applyFont="1" applyAlignment="1">
      <alignment horizontal="right" vertical="center"/>
    </xf>
    <xf numFmtId="181" fontId="20" fillId="33" borderId="0" xfId="0" applyNumberFormat="1" applyFont="1" applyFill="1" applyAlignment="1">
      <alignment horizontal="right" vertical="center"/>
    </xf>
    <xf numFmtId="179" fontId="20" fillId="33" borderId="0" xfId="0" applyNumberFormat="1" applyFont="1" applyFill="1" applyAlignment="1">
      <alignment horizontal="right" vertical="center"/>
    </xf>
    <xf numFmtId="179" fontId="20" fillId="0" borderId="0" xfId="0" applyNumberFormat="1" applyFont="1" applyAlignment="1">
      <alignment horizontal="right" vertical="center"/>
    </xf>
    <xf numFmtId="178" fontId="20" fillId="0" borderId="0" xfId="0" applyNumberFormat="1" applyFont="1" applyAlignment="1">
      <alignment horizontal="right" vertical="center"/>
    </xf>
    <xf numFmtId="179" fontId="0" fillId="33" borderId="0" xfId="0" applyNumberFormat="1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9" fontId="0" fillId="33" borderId="0" xfId="0" applyNumberFormat="1" applyFill="1">
      <alignment vertical="center"/>
    </xf>
    <xf numFmtId="0" fontId="0" fillId="0" borderId="14" xfId="0" applyBorder="1">
      <alignment vertical="center"/>
    </xf>
    <xf numFmtId="181" fontId="19" fillId="0" borderId="0" xfId="0" applyNumberFormat="1" applyFont="1" applyAlignment="1">
      <alignment horizontal="right" vertical="center"/>
    </xf>
    <xf numFmtId="180" fontId="19" fillId="0" borderId="0" xfId="1" applyNumberFormat="1" applyFont="1" applyBorder="1" applyAlignment="1">
      <alignment horizontal="right" vertical="center"/>
    </xf>
    <xf numFmtId="181" fontId="19" fillId="33" borderId="0" xfId="0" applyNumberFormat="1" applyFont="1" applyFill="1" applyAlignment="1">
      <alignment horizontal="right" vertical="center"/>
    </xf>
    <xf numFmtId="179" fontId="19" fillId="33" borderId="0" xfId="0" applyNumberFormat="1" applyFont="1" applyFill="1" applyAlignment="1">
      <alignment horizontal="right" vertical="center"/>
    </xf>
    <xf numFmtId="179" fontId="19" fillId="0" borderId="0" xfId="0" applyNumberFormat="1" applyFont="1" applyAlignment="1">
      <alignment horizontal="right" vertical="center"/>
    </xf>
    <xf numFmtId="178" fontId="19" fillId="0" borderId="0" xfId="0" applyNumberFormat="1" applyFont="1" applyAlignment="1">
      <alignment horizontal="right" vertical="center"/>
    </xf>
    <xf numFmtId="0" fontId="19" fillId="33" borderId="12" xfId="0" applyFont="1" applyFill="1" applyBorder="1" applyAlignment="1">
      <alignment horizontal="right" vertical="center"/>
    </xf>
    <xf numFmtId="0" fontId="0" fillId="0" borderId="15" xfId="0" applyBorder="1">
      <alignment vertical="center"/>
    </xf>
    <xf numFmtId="0" fontId="0" fillId="33" borderId="13" xfId="0" applyFill="1" applyBorder="1" applyAlignment="1">
      <alignment horizontal="right" vertical="center"/>
    </xf>
    <xf numFmtId="180" fontId="0" fillId="0" borderId="0" xfId="1" applyNumberFormat="1" applyFont="1" applyBorder="1">
      <alignment vertical="center"/>
    </xf>
    <xf numFmtId="179" fontId="0" fillId="0" borderId="0" xfId="0" applyNumberFormat="1">
      <alignment vertical="center"/>
    </xf>
    <xf numFmtId="179" fontId="0" fillId="0" borderId="14" xfId="0" applyNumberFormat="1" applyBorder="1">
      <alignment vertical="center"/>
    </xf>
    <xf numFmtId="0" fontId="0" fillId="33" borderId="12" xfId="0" applyFill="1" applyBorder="1" applyAlignment="1">
      <alignment horizontal="right" vertical="center"/>
    </xf>
    <xf numFmtId="180" fontId="0" fillId="0" borderId="11" xfId="1" applyNumberFormat="1" applyFont="1" applyBorder="1">
      <alignment vertical="center"/>
    </xf>
    <xf numFmtId="179" fontId="0" fillId="0" borderId="15" xfId="0" applyNumberFormat="1" applyBorder="1">
      <alignment vertical="center"/>
    </xf>
    <xf numFmtId="1" fontId="0" fillId="0" borderId="0" xfId="0" applyNumberFormat="1">
      <alignment vertical="center"/>
    </xf>
    <xf numFmtId="0" fontId="19" fillId="33" borderId="0" xfId="0" applyFont="1" applyFill="1" applyAlignment="1">
      <alignment horizontal="right" vertical="center"/>
    </xf>
    <xf numFmtId="0" fontId="19" fillId="33" borderId="11" xfId="0" applyFont="1" applyFill="1" applyBorder="1" applyAlignment="1">
      <alignment horizontal="right" vertical="center"/>
    </xf>
    <xf numFmtId="182" fontId="0" fillId="33" borderId="0" xfId="0" applyNumberFormat="1" applyFill="1">
      <alignment vertical="center"/>
    </xf>
    <xf numFmtId="182" fontId="0" fillId="33" borderId="11" xfId="0" applyNumberFormat="1" applyFill="1" applyBorder="1">
      <alignment vertical="center"/>
    </xf>
    <xf numFmtId="182" fontId="0" fillId="0" borderId="0" xfId="0" applyNumberFormat="1">
      <alignment vertical="center"/>
    </xf>
    <xf numFmtId="182" fontId="0" fillId="0" borderId="11" xfId="0" applyNumberFormat="1" applyBorder="1">
      <alignment vertical="center"/>
    </xf>
    <xf numFmtId="0" fontId="0" fillId="0" borderId="11" xfId="0" applyFill="1" applyBorder="1">
      <alignment vertical="center"/>
    </xf>
    <xf numFmtId="0" fontId="14" fillId="0" borderId="11" xfId="0" applyFont="1" applyFill="1" applyBorder="1">
      <alignment vertical="center"/>
    </xf>
    <xf numFmtId="0" fontId="14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shrinkToFit="1"/>
    </xf>
    <xf numFmtId="0" fontId="14" fillId="33" borderId="0" xfId="0" applyFont="1" applyFill="1">
      <alignment vertical="center"/>
    </xf>
    <xf numFmtId="0" fontId="14" fillId="33" borderId="11" xfId="0" applyFont="1" applyFill="1" applyBorder="1">
      <alignment vertical="center"/>
    </xf>
    <xf numFmtId="179" fontId="14" fillId="33" borderId="0" xfId="0" applyNumberFormat="1" applyFont="1" applyFill="1">
      <alignment vertical="center"/>
    </xf>
    <xf numFmtId="179" fontId="14" fillId="33" borderId="11" xfId="0" applyNumberFormat="1" applyFont="1" applyFill="1" applyBorder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パーセント" xfId="1" builtinId="5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00B6-DE0C-47D7-9CF8-171FE97BB19B}">
  <dimension ref="A1:R481"/>
  <sheetViews>
    <sheetView tabSelected="1" workbookViewId="0">
      <selection activeCell="E9" sqref="E9"/>
    </sheetView>
  </sheetViews>
  <sheetFormatPr defaultRowHeight="18.75"/>
  <cols>
    <col min="1" max="1" width="5" customWidth="1"/>
    <col min="2" max="2" width="12.75" customWidth="1"/>
    <col min="4" max="4" width="8.375" customWidth="1"/>
    <col min="5" max="6" width="9" customWidth="1"/>
    <col min="7" max="7" width="13.125" customWidth="1"/>
    <col min="8" max="8" width="11.375" customWidth="1"/>
    <col min="9" max="10" width="9" customWidth="1"/>
    <col min="11" max="11" width="12.25" customWidth="1"/>
    <col min="12" max="12" width="17.25" customWidth="1"/>
    <col min="13" max="13" width="18" customWidth="1"/>
    <col min="14" max="14" width="18.375" customWidth="1"/>
  </cols>
  <sheetData>
    <row r="1" spans="1:18">
      <c r="A1" s="3" t="s">
        <v>101</v>
      </c>
      <c r="B1" s="3" t="s">
        <v>74</v>
      </c>
      <c r="C1" s="3" t="s">
        <v>75</v>
      </c>
      <c r="D1" s="3" t="s">
        <v>97</v>
      </c>
      <c r="E1" s="3" t="s">
        <v>102</v>
      </c>
      <c r="F1" s="3" t="s">
        <v>103</v>
      </c>
      <c r="G1" s="3" t="s">
        <v>87</v>
      </c>
      <c r="H1" s="3" t="s">
        <v>100</v>
      </c>
      <c r="I1" s="3" t="s">
        <v>137</v>
      </c>
      <c r="J1" s="3" t="s">
        <v>121</v>
      </c>
      <c r="K1" s="55" t="s">
        <v>138</v>
      </c>
      <c r="L1" s="54" t="s">
        <v>120</v>
      </c>
      <c r="M1" s="54" t="s">
        <v>139</v>
      </c>
      <c r="N1" s="54" t="s">
        <v>82</v>
      </c>
      <c r="O1" s="3" t="s">
        <v>76</v>
      </c>
      <c r="P1" s="3" t="s">
        <v>78</v>
      </c>
      <c r="Q1" s="3" t="s">
        <v>77</v>
      </c>
      <c r="R1" s="3" t="s">
        <v>79</v>
      </c>
    </row>
    <row r="2" spans="1:18">
      <c r="A2">
        <v>1</v>
      </c>
      <c r="B2">
        <v>1</v>
      </c>
      <c r="C2">
        <v>1</v>
      </c>
      <c r="D2">
        <v>4</v>
      </c>
      <c r="E2">
        <v>4</v>
      </c>
      <c r="F2">
        <v>1</v>
      </c>
      <c r="G2" t="s">
        <v>89</v>
      </c>
      <c r="H2">
        <v>0.85</v>
      </c>
      <c r="I2" s="2">
        <v>0.56667000000000001</v>
      </c>
      <c r="J2" s="47">
        <v>5</v>
      </c>
      <c r="K2" t="s">
        <v>0</v>
      </c>
      <c r="L2">
        <v>2</v>
      </c>
      <c r="M2" t="s">
        <v>15</v>
      </c>
      <c r="N2" s="56">
        <v>0</v>
      </c>
      <c r="O2">
        <v>1</v>
      </c>
      <c r="P2">
        <v>0</v>
      </c>
      <c r="Q2">
        <v>0</v>
      </c>
      <c r="R2">
        <v>0</v>
      </c>
    </row>
    <row r="3" spans="1:18">
      <c r="A3">
        <v>2</v>
      </c>
      <c r="B3">
        <v>1</v>
      </c>
      <c r="C3">
        <v>4</v>
      </c>
      <c r="D3">
        <v>4</v>
      </c>
      <c r="E3">
        <v>4</v>
      </c>
      <c r="F3">
        <v>1</v>
      </c>
      <c r="G3" t="s">
        <v>89</v>
      </c>
      <c r="H3">
        <v>0.85</v>
      </c>
      <c r="I3" s="2">
        <v>0.52146999999999999</v>
      </c>
      <c r="J3" s="47">
        <v>5</v>
      </c>
      <c r="K3" t="s">
        <v>1</v>
      </c>
      <c r="L3">
        <v>3</v>
      </c>
      <c r="M3" t="s">
        <v>1</v>
      </c>
      <c r="N3" s="56">
        <v>2</v>
      </c>
      <c r="O3">
        <v>1</v>
      </c>
      <c r="P3">
        <v>1</v>
      </c>
      <c r="Q3">
        <v>0</v>
      </c>
      <c r="R3">
        <v>0</v>
      </c>
    </row>
    <row r="4" spans="1:18">
      <c r="A4">
        <v>3</v>
      </c>
      <c r="B4">
        <v>1</v>
      </c>
      <c r="C4">
        <v>7</v>
      </c>
      <c r="D4">
        <v>4</v>
      </c>
      <c r="E4">
        <v>4</v>
      </c>
      <c r="F4">
        <v>1</v>
      </c>
      <c r="G4" t="s">
        <v>89</v>
      </c>
      <c r="H4">
        <v>1.25</v>
      </c>
      <c r="I4" s="2">
        <v>0.79618</v>
      </c>
      <c r="J4" s="47">
        <v>5</v>
      </c>
      <c r="K4" t="s">
        <v>2</v>
      </c>
      <c r="L4">
        <v>3</v>
      </c>
      <c r="M4" t="s">
        <v>15</v>
      </c>
      <c r="N4" s="56">
        <v>0</v>
      </c>
      <c r="O4">
        <v>1</v>
      </c>
      <c r="P4">
        <v>0</v>
      </c>
      <c r="Q4">
        <v>0</v>
      </c>
      <c r="R4">
        <v>0</v>
      </c>
    </row>
    <row r="5" spans="1:18">
      <c r="A5">
        <v>4</v>
      </c>
      <c r="B5">
        <v>1</v>
      </c>
      <c r="C5">
        <v>9</v>
      </c>
      <c r="D5">
        <v>4</v>
      </c>
      <c r="E5">
        <v>1</v>
      </c>
      <c r="F5">
        <v>0</v>
      </c>
      <c r="G5" t="s">
        <v>90</v>
      </c>
      <c r="H5">
        <v>0.99</v>
      </c>
      <c r="I5" s="2">
        <v>0.69230999999999998</v>
      </c>
      <c r="J5" s="47">
        <v>3</v>
      </c>
      <c r="K5" t="s">
        <v>2</v>
      </c>
      <c r="L5">
        <v>3</v>
      </c>
      <c r="M5" t="s">
        <v>15</v>
      </c>
      <c r="N5" s="56">
        <v>0</v>
      </c>
      <c r="O5">
        <v>1</v>
      </c>
      <c r="P5">
        <v>0</v>
      </c>
      <c r="Q5">
        <v>0</v>
      </c>
      <c r="R5">
        <v>0</v>
      </c>
    </row>
    <row r="6" spans="1:18">
      <c r="A6">
        <v>5</v>
      </c>
      <c r="B6">
        <v>1</v>
      </c>
      <c r="C6">
        <v>11</v>
      </c>
      <c r="D6">
        <v>4</v>
      </c>
      <c r="E6">
        <v>4</v>
      </c>
      <c r="F6">
        <v>1</v>
      </c>
      <c r="G6" t="s">
        <v>89</v>
      </c>
      <c r="H6">
        <v>1.42</v>
      </c>
      <c r="I6" s="2">
        <v>0.72080999999999995</v>
      </c>
      <c r="J6" s="47">
        <v>5</v>
      </c>
      <c r="K6" t="s">
        <v>0</v>
      </c>
      <c r="L6">
        <v>2</v>
      </c>
      <c r="M6" t="s">
        <v>15</v>
      </c>
      <c r="N6" s="56">
        <v>0</v>
      </c>
      <c r="O6">
        <v>1</v>
      </c>
      <c r="P6">
        <v>0</v>
      </c>
      <c r="Q6">
        <v>0</v>
      </c>
      <c r="R6">
        <v>0</v>
      </c>
    </row>
    <row r="7" spans="1:18">
      <c r="A7">
        <v>6</v>
      </c>
      <c r="B7">
        <v>1</v>
      </c>
      <c r="C7">
        <v>15</v>
      </c>
      <c r="D7">
        <v>4</v>
      </c>
      <c r="E7">
        <v>4</v>
      </c>
      <c r="F7">
        <v>1</v>
      </c>
      <c r="G7" t="s">
        <v>89</v>
      </c>
      <c r="H7">
        <v>1.21</v>
      </c>
      <c r="I7" s="2">
        <v>0.66120000000000001</v>
      </c>
      <c r="J7" s="47">
        <v>5</v>
      </c>
      <c r="K7" t="s">
        <v>0</v>
      </c>
      <c r="L7">
        <v>2</v>
      </c>
      <c r="M7" t="s">
        <v>15</v>
      </c>
      <c r="N7" s="56">
        <v>0</v>
      </c>
      <c r="O7">
        <v>1</v>
      </c>
      <c r="P7">
        <v>0</v>
      </c>
      <c r="Q7">
        <v>0</v>
      </c>
      <c r="R7">
        <v>0</v>
      </c>
    </row>
    <row r="8" spans="1:18">
      <c r="A8">
        <v>7</v>
      </c>
      <c r="B8">
        <v>1</v>
      </c>
      <c r="C8">
        <v>16</v>
      </c>
      <c r="D8">
        <v>4</v>
      </c>
      <c r="E8">
        <v>4</v>
      </c>
      <c r="F8">
        <v>1</v>
      </c>
      <c r="G8" t="s">
        <v>89</v>
      </c>
      <c r="H8">
        <v>1.22</v>
      </c>
      <c r="I8" s="2">
        <v>0.73053999999999997</v>
      </c>
      <c r="J8" s="47">
        <v>5</v>
      </c>
      <c r="K8" t="s">
        <v>0</v>
      </c>
      <c r="L8">
        <v>2</v>
      </c>
      <c r="M8" t="s">
        <v>15</v>
      </c>
      <c r="N8" s="56">
        <v>0</v>
      </c>
      <c r="O8">
        <v>1</v>
      </c>
      <c r="P8">
        <v>0</v>
      </c>
      <c r="Q8">
        <v>0</v>
      </c>
      <c r="R8">
        <v>0</v>
      </c>
    </row>
    <row r="9" spans="1:18">
      <c r="A9">
        <v>8</v>
      </c>
      <c r="B9">
        <v>1</v>
      </c>
      <c r="C9">
        <v>17</v>
      </c>
      <c r="D9">
        <v>1</v>
      </c>
      <c r="E9">
        <v>4</v>
      </c>
      <c r="F9">
        <v>0</v>
      </c>
      <c r="G9" t="s">
        <v>91</v>
      </c>
      <c r="H9">
        <v>1.53</v>
      </c>
      <c r="I9" s="2">
        <v>0.76500000000000001</v>
      </c>
      <c r="J9" s="47">
        <v>3</v>
      </c>
      <c r="K9" t="s">
        <v>3</v>
      </c>
      <c r="L9">
        <v>3</v>
      </c>
      <c r="M9" t="s">
        <v>8</v>
      </c>
      <c r="N9" s="56">
        <v>0</v>
      </c>
      <c r="O9">
        <v>0</v>
      </c>
      <c r="P9">
        <v>1</v>
      </c>
      <c r="Q9">
        <v>0</v>
      </c>
      <c r="R9">
        <v>0</v>
      </c>
    </row>
    <row r="10" spans="1:18">
      <c r="A10">
        <v>9</v>
      </c>
      <c r="B10">
        <v>1</v>
      </c>
      <c r="C10">
        <v>18</v>
      </c>
      <c r="D10">
        <v>1</v>
      </c>
      <c r="E10">
        <v>1</v>
      </c>
      <c r="F10">
        <v>1</v>
      </c>
      <c r="G10" t="s">
        <v>92</v>
      </c>
      <c r="H10">
        <v>1.58</v>
      </c>
      <c r="I10" s="2">
        <v>0.83157999999999999</v>
      </c>
      <c r="J10" s="47">
        <v>4</v>
      </c>
      <c r="K10" t="s">
        <v>4</v>
      </c>
      <c r="L10">
        <v>5</v>
      </c>
      <c r="M10" t="s">
        <v>80</v>
      </c>
      <c r="N10" s="56">
        <v>3</v>
      </c>
      <c r="O10">
        <v>1</v>
      </c>
      <c r="P10">
        <v>1</v>
      </c>
      <c r="Q10">
        <v>0</v>
      </c>
      <c r="R10">
        <v>1</v>
      </c>
    </row>
    <row r="11" spans="1:18">
      <c r="A11">
        <v>10</v>
      </c>
      <c r="B11">
        <v>1</v>
      </c>
      <c r="C11">
        <v>19</v>
      </c>
      <c r="D11">
        <v>1</v>
      </c>
      <c r="E11">
        <v>1</v>
      </c>
      <c r="F11">
        <v>1</v>
      </c>
      <c r="G11" t="s">
        <v>92</v>
      </c>
      <c r="H11">
        <v>1.65</v>
      </c>
      <c r="I11" s="2">
        <v>0.88234999999999997</v>
      </c>
      <c r="J11" s="47">
        <v>4</v>
      </c>
      <c r="K11" t="s">
        <v>0</v>
      </c>
      <c r="L11">
        <v>2</v>
      </c>
      <c r="M11" t="s">
        <v>15</v>
      </c>
      <c r="N11" s="56">
        <v>0</v>
      </c>
      <c r="O11">
        <v>1</v>
      </c>
      <c r="P11">
        <v>0</v>
      </c>
      <c r="Q11">
        <v>0</v>
      </c>
      <c r="R11">
        <v>0</v>
      </c>
    </row>
    <row r="12" spans="1:18">
      <c r="A12">
        <v>11</v>
      </c>
      <c r="B12">
        <v>1</v>
      </c>
      <c r="C12">
        <v>23</v>
      </c>
      <c r="D12">
        <v>4</v>
      </c>
      <c r="E12">
        <v>4</v>
      </c>
      <c r="F12">
        <v>1</v>
      </c>
      <c r="G12" t="s">
        <v>89</v>
      </c>
      <c r="H12">
        <v>1.39</v>
      </c>
      <c r="I12" s="2">
        <v>0.81764999999999999</v>
      </c>
      <c r="J12" s="47">
        <v>3</v>
      </c>
      <c r="K12" t="s">
        <v>5</v>
      </c>
      <c r="L12">
        <v>3</v>
      </c>
      <c r="M12" t="s">
        <v>13</v>
      </c>
      <c r="N12" s="56">
        <v>1</v>
      </c>
      <c r="O12">
        <v>1</v>
      </c>
      <c r="P12">
        <v>1</v>
      </c>
      <c r="Q12">
        <v>0</v>
      </c>
      <c r="R12">
        <v>0</v>
      </c>
    </row>
    <row r="13" spans="1:18">
      <c r="A13">
        <v>12</v>
      </c>
      <c r="B13">
        <v>1</v>
      </c>
      <c r="C13">
        <v>24</v>
      </c>
      <c r="D13">
        <v>1</v>
      </c>
      <c r="E13">
        <v>1</v>
      </c>
      <c r="F13">
        <v>1</v>
      </c>
      <c r="G13" t="s">
        <v>92</v>
      </c>
      <c r="H13">
        <v>1.59</v>
      </c>
      <c r="I13" s="2">
        <v>0.80710999999999999</v>
      </c>
      <c r="J13" s="47">
        <v>5</v>
      </c>
      <c r="K13" t="s">
        <v>0</v>
      </c>
      <c r="L13">
        <v>2</v>
      </c>
      <c r="M13" t="s">
        <v>15</v>
      </c>
      <c r="N13" s="56">
        <v>0</v>
      </c>
      <c r="O13">
        <v>1</v>
      </c>
      <c r="P13">
        <v>0</v>
      </c>
      <c r="Q13">
        <v>0</v>
      </c>
      <c r="R13">
        <v>0</v>
      </c>
    </row>
    <row r="14" spans="1:18">
      <c r="A14">
        <v>13</v>
      </c>
      <c r="B14">
        <v>1</v>
      </c>
      <c r="C14">
        <v>26</v>
      </c>
      <c r="D14">
        <v>1</v>
      </c>
      <c r="E14">
        <v>4</v>
      </c>
      <c r="F14">
        <v>0</v>
      </c>
      <c r="G14" t="s">
        <v>91</v>
      </c>
      <c r="H14">
        <v>1.46</v>
      </c>
      <c r="I14" s="2">
        <v>0.75648000000000004</v>
      </c>
      <c r="J14" s="47">
        <v>2</v>
      </c>
      <c r="K14" t="s">
        <v>6</v>
      </c>
      <c r="L14">
        <v>3</v>
      </c>
      <c r="M14" t="s">
        <v>9</v>
      </c>
      <c r="N14" s="56">
        <v>1</v>
      </c>
      <c r="O14">
        <v>0</v>
      </c>
      <c r="P14">
        <v>1</v>
      </c>
      <c r="Q14">
        <v>0</v>
      </c>
      <c r="R14">
        <v>1</v>
      </c>
    </row>
    <row r="15" spans="1:18">
      <c r="A15">
        <v>14</v>
      </c>
      <c r="B15">
        <v>1</v>
      </c>
      <c r="C15">
        <v>27</v>
      </c>
      <c r="D15">
        <v>4</v>
      </c>
      <c r="E15">
        <v>4</v>
      </c>
      <c r="F15">
        <v>1</v>
      </c>
      <c r="G15" t="s">
        <v>89</v>
      </c>
      <c r="H15">
        <v>1.53</v>
      </c>
      <c r="I15" s="2">
        <v>1.06993</v>
      </c>
      <c r="J15" s="47">
        <v>4</v>
      </c>
      <c r="K15" t="s">
        <v>5</v>
      </c>
      <c r="L15">
        <v>3</v>
      </c>
      <c r="M15" t="s">
        <v>13</v>
      </c>
      <c r="N15" s="56">
        <v>1</v>
      </c>
      <c r="O15">
        <v>1</v>
      </c>
      <c r="P15">
        <v>1</v>
      </c>
      <c r="Q15">
        <v>0</v>
      </c>
      <c r="R15">
        <v>0</v>
      </c>
    </row>
    <row r="16" spans="1:18">
      <c r="A16">
        <v>15</v>
      </c>
      <c r="B16">
        <v>1</v>
      </c>
      <c r="C16">
        <v>28</v>
      </c>
      <c r="D16">
        <v>1</v>
      </c>
      <c r="E16">
        <v>1</v>
      </c>
      <c r="F16">
        <v>1</v>
      </c>
      <c r="G16" t="s">
        <v>92</v>
      </c>
      <c r="H16">
        <v>1.1100000000000001</v>
      </c>
      <c r="I16" s="2">
        <v>0.59358</v>
      </c>
      <c r="J16" s="47">
        <v>5</v>
      </c>
      <c r="K16" t="s">
        <v>7</v>
      </c>
      <c r="L16">
        <v>2</v>
      </c>
      <c r="M16" t="s">
        <v>8</v>
      </c>
      <c r="N16" s="56">
        <v>0</v>
      </c>
      <c r="O16">
        <v>0</v>
      </c>
      <c r="P16">
        <v>1</v>
      </c>
      <c r="Q16">
        <v>0</v>
      </c>
      <c r="R16">
        <v>0</v>
      </c>
    </row>
    <row r="17" spans="1:18">
      <c r="A17">
        <v>16</v>
      </c>
      <c r="B17">
        <v>1</v>
      </c>
      <c r="C17">
        <v>29</v>
      </c>
      <c r="D17">
        <v>4</v>
      </c>
      <c r="E17">
        <v>4</v>
      </c>
      <c r="F17">
        <v>1</v>
      </c>
      <c r="G17" t="s">
        <v>89</v>
      </c>
      <c r="H17">
        <v>1.4</v>
      </c>
      <c r="I17" s="2">
        <v>0.83831999999999995</v>
      </c>
      <c r="J17" s="47">
        <v>4</v>
      </c>
      <c r="K17" t="s">
        <v>8</v>
      </c>
      <c r="L17">
        <v>1</v>
      </c>
      <c r="M17" t="s">
        <v>8</v>
      </c>
      <c r="N17" s="56">
        <v>0</v>
      </c>
      <c r="O17">
        <v>0</v>
      </c>
      <c r="P17">
        <v>1</v>
      </c>
      <c r="Q17">
        <v>0</v>
      </c>
      <c r="R17">
        <v>0</v>
      </c>
    </row>
    <row r="18" spans="1:18">
      <c r="A18">
        <v>17</v>
      </c>
      <c r="B18">
        <v>1</v>
      </c>
      <c r="C18">
        <v>30</v>
      </c>
      <c r="D18">
        <v>4</v>
      </c>
      <c r="E18">
        <v>1</v>
      </c>
      <c r="F18">
        <v>0</v>
      </c>
      <c r="G18" t="s">
        <v>90</v>
      </c>
      <c r="H18">
        <v>1.1599999999999999</v>
      </c>
      <c r="I18" s="2">
        <v>0.68235000000000001</v>
      </c>
      <c r="J18" s="47">
        <v>1</v>
      </c>
      <c r="K18" t="s">
        <v>9</v>
      </c>
      <c r="L18">
        <v>2</v>
      </c>
      <c r="M18" t="s">
        <v>9</v>
      </c>
      <c r="N18" s="56">
        <v>1</v>
      </c>
      <c r="O18">
        <v>0</v>
      </c>
      <c r="P18">
        <v>1</v>
      </c>
      <c r="Q18">
        <v>0</v>
      </c>
      <c r="R18">
        <v>1</v>
      </c>
    </row>
    <row r="19" spans="1:18">
      <c r="A19">
        <v>18</v>
      </c>
      <c r="B19">
        <v>1</v>
      </c>
      <c r="C19">
        <v>34</v>
      </c>
      <c r="D19">
        <v>1</v>
      </c>
      <c r="E19">
        <v>1</v>
      </c>
      <c r="F19">
        <v>1</v>
      </c>
      <c r="G19" t="s">
        <v>92</v>
      </c>
      <c r="H19">
        <v>1.1000000000000001</v>
      </c>
      <c r="I19" s="2">
        <v>0.53139999999999998</v>
      </c>
      <c r="J19" s="47">
        <v>5</v>
      </c>
      <c r="K19" t="s">
        <v>8</v>
      </c>
      <c r="L19">
        <v>1</v>
      </c>
      <c r="M19" t="s">
        <v>8</v>
      </c>
      <c r="N19" s="56">
        <v>0</v>
      </c>
      <c r="O19">
        <v>0</v>
      </c>
      <c r="P19">
        <v>1</v>
      </c>
      <c r="Q19">
        <v>0</v>
      </c>
      <c r="R19">
        <v>0</v>
      </c>
    </row>
    <row r="20" spans="1:18">
      <c r="A20">
        <v>19</v>
      </c>
      <c r="B20">
        <v>1</v>
      </c>
      <c r="C20">
        <v>35</v>
      </c>
      <c r="D20">
        <v>1</v>
      </c>
      <c r="E20">
        <v>1</v>
      </c>
      <c r="F20">
        <v>1</v>
      </c>
      <c r="G20" t="s">
        <v>92</v>
      </c>
      <c r="H20">
        <v>1.06</v>
      </c>
      <c r="I20" s="2">
        <v>0.56684000000000001</v>
      </c>
      <c r="J20" s="47">
        <v>3</v>
      </c>
      <c r="K20" t="s">
        <v>0</v>
      </c>
      <c r="L20">
        <v>2</v>
      </c>
      <c r="M20" t="s">
        <v>15</v>
      </c>
      <c r="N20" s="56">
        <v>0</v>
      </c>
      <c r="O20">
        <v>1</v>
      </c>
      <c r="P20">
        <v>0</v>
      </c>
      <c r="Q20">
        <v>0</v>
      </c>
      <c r="R20">
        <v>0</v>
      </c>
    </row>
    <row r="21" spans="1:18">
      <c r="A21">
        <v>20</v>
      </c>
      <c r="B21">
        <v>1</v>
      </c>
      <c r="C21">
        <v>36</v>
      </c>
      <c r="D21">
        <v>1</v>
      </c>
      <c r="E21">
        <v>4</v>
      </c>
      <c r="F21">
        <v>0</v>
      </c>
      <c r="G21" t="s">
        <v>91</v>
      </c>
      <c r="H21">
        <v>1.31</v>
      </c>
      <c r="I21" s="2">
        <v>0.70052999999999999</v>
      </c>
      <c r="J21" s="47">
        <v>2</v>
      </c>
      <c r="K21" t="s">
        <v>10</v>
      </c>
      <c r="L21">
        <v>2</v>
      </c>
      <c r="M21" t="s">
        <v>10</v>
      </c>
      <c r="N21" s="56">
        <v>1</v>
      </c>
      <c r="O21">
        <v>1</v>
      </c>
      <c r="P21">
        <v>1</v>
      </c>
      <c r="Q21">
        <v>0</v>
      </c>
      <c r="R21">
        <v>0</v>
      </c>
    </row>
    <row r="22" spans="1:18">
      <c r="A22">
        <v>21</v>
      </c>
      <c r="B22">
        <v>1</v>
      </c>
      <c r="C22">
        <v>37</v>
      </c>
      <c r="D22">
        <v>4</v>
      </c>
      <c r="E22">
        <v>4</v>
      </c>
      <c r="F22">
        <v>1</v>
      </c>
      <c r="G22" t="s">
        <v>89</v>
      </c>
      <c r="H22">
        <v>1.59</v>
      </c>
      <c r="I22" s="2">
        <v>0.89831000000000005</v>
      </c>
      <c r="J22" s="47">
        <v>3</v>
      </c>
      <c r="K22" t="s">
        <v>11</v>
      </c>
      <c r="L22">
        <v>3</v>
      </c>
      <c r="M22" t="s">
        <v>11</v>
      </c>
      <c r="N22" s="56">
        <v>2</v>
      </c>
      <c r="O22">
        <v>0</v>
      </c>
      <c r="P22">
        <v>1</v>
      </c>
      <c r="Q22">
        <v>0</v>
      </c>
      <c r="R22">
        <v>1</v>
      </c>
    </row>
    <row r="23" spans="1:18">
      <c r="A23">
        <v>22</v>
      </c>
      <c r="B23">
        <v>1</v>
      </c>
      <c r="C23">
        <v>39</v>
      </c>
      <c r="D23">
        <v>1</v>
      </c>
      <c r="E23">
        <v>1</v>
      </c>
      <c r="F23">
        <v>1</v>
      </c>
      <c r="G23" t="s">
        <v>92</v>
      </c>
      <c r="H23">
        <v>1.05</v>
      </c>
      <c r="I23" s="2">
        <v>0.5615</v>
      </c>
      <c r="J23" s="47">
        <v>5</v>
      </c>
      <c r="K23" t="s">
        <v>10</v>
      </c>
      <c r="L23">
        <v>2</v>
      </c>
      <c r="M23" t="s">
        <v>10</v>
      </c>
      <c r="N23" s="56">
        <v>1</v>
      </c>
      <c r="O23">
        <v>1</v>
      </c>
      <c r="P23">
        <v>1</v>
      </c>
      <c r="Q23">
        <v>0</v>
      </c>
      <c r="R23">
        <v>0</v>
      </c>
    </row>
    <row r="24" spans="1:18">
      <c r="A24">
        <v>23</v>
      </c>
      <c r="B24">
        <v>1</v>
      </c>
      <c r="C24">
        <v>41</v>
      </c>
      <c r="D24">
        <v>1</v>
      </c>
      <c r="E24">
        <v>4</v>
      </c>
      <c r="F24">
        <v>0</v>
      </c>
      <c r="G24" t="s">
        <v>91</v>
      </c>
      <c r="H24">
        <v>1.71</v>
      </c>
      <c r="I24" s="2">
        <v>0.93442999999999998</v>
      </c>
      <c r="J24" s="47">
        <v>4</v>
      </c>
      <c r="K24" t="s">
        <v>12</v>
      </c>
      <c r="L24">
        <v>2</v>
      </c>
      <c r="M24" t="s">
        <v>12</v>
      </c>
      <c r="N24" s="56">
        <v>1</v>
      </c>
      <c r="O24">
        <v>0</v>
      </c>
      <c r="P24">
        <v>1</v>
      </c>
      <c r="Q24">
        <v>1</v>
      </c>
      <c r="R24">
        <v>0</v>
      </c>
    </row>
    <row r="25" spans="1:18">
      <c r="A25">
        <v>24</v>
      </c>
      <c r="B25">
        <v>1</v>
      </c>
      <c r="C25">
        <v>42</v>
      </c>
      <c r="D25">
        <v>1</v>
      </c>
      <c r="E25">
        <v>4</v>
      </c>
      <c r="F25">
        <v>0</v>
      </c>
      <c r="G25" t="s">
        <v>91</v>
      </c>
      <c r="H25">
        <v>1.49</v>
      </c>
      <c r="I25" s="2">
        <v>0.78420999999999996</v>
      </c>
      <c r="J25" s="47">
        <v>4</v>
      </c>
      <c r="K25" t="s">
        <v>2</v>
      </c>
      <c r="L25">
        <v>3</v>
      </c>
      <c r="M25" t="s">
        <v>15</v>
      </c>
      <c r="N25" s="56">
        <v>0</v>
      </c>
      <c r="O25">
        <v>1</v>
      </c>
      <c r="P25">
        <v>0</v>
      </c>
      <c r="Q25">
        <v>0</v>
      </c>
      <c r="R25">
        <v>0</v>
      </c>
    </row>
    <row r="26" spans="1:18">
      <c r="A26">
        <v>25</v>
      </c>
      <c r="B26">
        <v>2</v>
      </c>
      <c r="C26">
        <v>1</v>
      </c>
      <c r="D26">
        <v>4</v>
      </c>
      <c r="E26">
        <v>4</v>
      </c>
      <c r="F26">
        <v>1</v>
      </c>
      <c r="G26" t="s">
        <v>89</v>
      </c>
      <c r="H26">
        <v>1.43</v>
      </c>
      <c r="I26" s="2">
        <v>0.95333000000000001</v>
      </c>
      <c r="J26" s="47">
        <v>4</v>
      </c>
      <c r="K26" t="s">
        <v>13</v>
      </c>
      <c r="L26">
        <v>2</v>
      </c>
      <c r="M26" t="s">
        <v>13</v>
      </c>
      <c r="N26" s="56">
        <v>1</v>
      </c>
      <c r="O26">
        <v>1</v>
      </c>
      <c r="P26">
        <v>1</v>
      </c>
      <c r="Q26">
        <v>0</v>
      </c>
      <c r="R26">
        <v>0</v>
      </c>
    </row>
    <row r="27" spans="1:18">
      <c r="A27">
        <v>26</v>
      </c>
      <c r="B27">
        <v>2</v>
      </c>
      <c r="C27">
        <v>4</v>
      </c>
      <c r="D27">
        <v>4</v>
      </c>
      <c r="E27">
        <v>4</v>
      </c>
      <c r="F27">
        <v>1</v>
      </c>
      <c r="G27" t="s">
        <v>89</v>
      </c>
      <c r="H27">
        <v>1.51</v>
      </c>
      <c r="I27" s="2">
        <v>0.92637999999999998</v>
      </c>
      <c r="J27" s="47">
        <v>3</v>
      </c>
      <c r="K27" t="s">
        <v>13</v>
      </c>
      <c r="L27">
        <v>2</v>
      </c>
      <c r="M27" t="s">
        <v>13</v>
      </c>
      <c r="N27" s="56">
        <v>1</v>
      </c>
      <c r="O27">
        <v>1</v>
      </c>
      <c r="P27">
        <v>1</v>
      </c>
      <c r="Q27">
        <v>0</v>
      </c>
      <c r="R27">
        <v>0</v>
      </c>
    </row>
    <row r="28" spans="1:18">
      <c r="A28">
        <v>27</v>
      </c>
      <c r="B28">
        <v>2</v>
      </c>
      <c r="C28">
        <v>7</v>
      </c>
      <c r="D28">
        <v>4</v>
      </c>
      <c r="E28">
        <v>1</v>
      </c>
      <c r="F28">
        <v>0</v>
      </c>
      <c r="G28" t="s">
        <v>90</v>
      </c>
      <c r="H28">
        <v>1.57</v>
      </c>
      <c r="I28" s="2">
        <v>1</v>
      </c>
      <c r="J28" s="47">
        <v>1</v>
      </c>
      <c r="K28" t="s">
        <v>14</v>
      </c>
      <c r="L28">
        <v>3</v>
      </c>
      <c r="M28" t="s">
        <v>14</v>
      </c>
      <c r="N28" s="56">
        <v>2</v>
      </c>
      <c r="O28">
        <v>1</v>
      </c>
      <c r="P28">
        <v>1</v>
      </c>
      <c r="Q28">
        <v>0</v>
      </c>
      <c r="R28">
        <v>1</v>
      </c>
    </row>
    <row r="29" spans="1:18">
      <c r="A29">
        <v>28</v>
      </c>
      <c r="B29">
        <v>2</v>
      </c>
      <c r="C29">
        <v>9</v>
      </c>
      <c r="D29">
        <v>4</v>
      </c>
      <c r="E29">
        <v>4</v>
      </c>
      <c r="F29">
        <v>1</v>
      </c>
      <c r="G29" t="s">
        <v>89</v>
      </c>
      <c r="H29">
        <v>1.51</v>
      </c>
      <c r="I29" s="2">
        <v>1.0559400000000001</v>
      </c>
      <c r="J29" s="47">
        <v>4</v>
      </c>
      <c r="K29" t="s">
        <v>15</v>
      </c>
      <c r="L29">
        <v>1</v>
      </c>
      <c r="M29" t="s">
        <v>15</v>
      </c>
      <c r="N29" s="56">
        <v>0</v>
      </c>
      <c r="O29">
        <v>1</v>
      </c>
      <c r="P29">
        <v>0</v>
      </c>
      <c r="Q29">
        <v>0</v>
      </c>
      <c r="R29">
        <v>0</v>
      </c>
    </row>
    <row r="30" spans="1:18">
      <c r="A30">
        <v>29</v>
      </c>
      <c r="B30">
        <v>2</v>
      </c>
      <c r="C30">
        <v>11</v>
      </c>
      <c r="D30">
        <v>4</v>
      </c>
      <c r="E30">
        <v>4</v>
      </c>
      <c r="F30">
        <v>1</v>
      </c>
      <c r="G30" t="s">
        <v>89</v>
      </c>
      <c r="H30">
        <v>1.54</v>
      </c>
      <c r="I30" s="2">
        <v>0.78173000000000004</v>
      </c>
      <c r="J30" s="47">
        <v>5</v>
      </c>
      <c r="K30" t="s">
        <v>13</v>
      </c>
      <c r="L30">
        <v>2</v>
      </c>
      <c r="M30" t="s">
        <v>13</v>
      </c>
      <c r="N30" s="56">
        <v>1</v>
      </c>
      <c r="O30">
        <v>1</v>
      </c>
      <c r="P30">
        <v>1</v>
      </c>
      <c r="Q30">
        <v>0</v>
      </c>
      <c r="R30">
        <v>0</v>
      </c>
    </row>
    <row r="31" spans="1:18">
      <c r="A31">
        <v>30</v>
      </c>
      <c r="B31">
        <v>2</v>
      </c>
      <c r="C31">
        <v>15</v>
      </c>
      <c r="D31">
        <v>4</v>
      </c>
      <c r="E31">
        <v>4</v>
      </c>
      <c r="F31">
        <v>1</v>
      </c>
      <c r="G31" t="s">
        <v>89</v>
      </c>
      <c r="H31">
        <v>1.78</v>
      </c>
      <c r="I31" s="2">
        <v>0.97267999999999999</v>
      </c>
      <c r="J31" s="47">
        <v>5</v>
      </c>
      <c r="K31" t="s">
        <v>8</v>
      </c>
      <c r="L31">
        <v>1</v>
      </c>
      <c r="M31" t="s">
        <v>8</v>
      </c>
      <c r="N31" s="56">
        <v>0</v>
      </c>
      <c r="O31">
        <v>0</v>
      </c>
      <c r="P31">
        <v>1</v>
      </c>
      <c r="Q31">
        <v>0</v>
      </c>
      <c r="R31">
        <v>0</v>
      </c>
    </row>
    <row r="32" spans="1:18">
      <c r="A32">
        <v>31</v>
      </c>
      <c r="B32">
        <v>2</v>
      </c>
      <c r="C32">
        <v>16</v>
      </c>
      <c r="D32">
        <v>4</v>
      </c>
      <c r="E32">
        <v>4</v>
      </c>
      <c r="F32">
        <v>1</v>
      </c>
      <c r="G32" t="s">
        <v>89</v>
      </c>
      <c r="H32">
        <v>1.59</v>
      </c>
      <c r="I32" s="2">
        <v>0.95209999999999995</v>
      </c>
      <c r="J32" s="47">
        <v>4</v>
      </c>
      <c r="K32" t="s">
        <v>0</v>
      </c>
      <c r="L32">
        <v>2</v>
      </c>
      <c r="M32" t="s">
        <v>15</v>
      </c>
      <c r="N32" s="56">
        <v>0</v>
      </c>
      <c r="O32">
        <v>1</v>
      </c>
      <c r="P32">
        <v>0</v>
      </c>
      <c r="Q32">
        <v>0</v>
      </c>
      <c r="R32">
        <v>0</v>
      </c>
    </row>
    <row r="33" spans="1:18">
      <c r="A33">
        <v>32</v>
      </c>
      <c r="B33">
        <v>2</v>
      </c>
      <c r="C33">
        <v>17</v>
      </c>
      <c r="D33">
        <v>1</v>
      </c>
      <c r="E33">
        <v>4</v>
      </c>
      <c r="F33">
        <v>0</v>
      </c>
      <c r="G33" t="s">
        <v>91</v>
      </c>
      <c r="H33">
        <v>1.43</v>
      </c>
      <c r="I33" s="2">
        <v>0.71499999999999997</v>
      </c>
      <c r="J33" s="47">
        <v>3</v>
      </c>
      <c r="K33" t="s">
        <v>8</v>
      </c>
      <c r="L33">
        <v>1</v>
      </c>
      <c r="M33" t="s">
        <v>8</v>
      </c>
      <c r="N33" s="56">
        <v>0</v>
      </c>
      <c r="O33">
        <v>0</v>
      </c>
      <c r="P33">
        <v>1</v>
      </c>
      <c r="Q33">
        <v>0</v>
      </c>
      <c r="R33">
        <v>0</v>
      </c>
    </row>
    <row r="34" spans="1:18">
      <c r="A34">
        <v>33</v>
      </c>
      <c r="B34">
        <v>2</v>
      </c>
      <c r="C34">
        <v>18</v>
      </c>
      <c r="D34">
        <v>1</v>
      </c>
      <c r="E34">
        <v>1</v>
      </c>
      <c r="F34">
        <v>1</v>
      </c>
      <c r="G34" t="s">
        <v>92</v>
      </c>
      <c r="H34">
        <v>1.73</v>
      </c>
      <c r="I34" s="2">
        <v>0.91052999999999995</v>
      </c>
      <c r="J34" s="47">
        <v>2</v>
      </c>
      <c r="K34" t="s">
        <v>16</v>
      </c>
      <c r="L34">
        <v>3</v>
      </c>
      <c r="M34" t="s">
        <v>81</v>
      </c>
      <c r="N34" s="56">
        <v>1</v>
      </c>
      <c r="O34">
        <v>0</v>
      </c>
      <c r="P34">
        <v>1</v>
      </c>
      <c r="Q34">
        <v>0</v>
      </c>
      <c r="R34">
        <v>1</v>
      </c>
    </row>
    <row r="35" spans="1:18">
      <c r="A35">
        <v>34</v>
      </c>
      <c r="B35">
        <v>2</v>
      </c>
      <c r="C35">
        <v>19</v>
      </c>
      <c r="D35">
        <v>1</v>
      </c>
      <c r="E35">
        <v>1</v>
      </c>
      <c r="F35">
        <v>1</v>
      </c>
      <c r="G35" t="s">
        <v>92</v>
      </c>
      <c r="H35">
        <v>1.65</v>
      </c>
      <c r="I35" s="2">
        <v>0.88234999999999997</v>
      </c>
      <c r="J35" s="47">
        <v>4</v>
      </c>
      <c r="K35" t="s">
        <v>17</v>
      </c>
      <c r="L35">
        <v>4</v>
      </c>
      <c r="M35" t="s">
        <v>17</v>
      </c>
      <c r="N35" s="56">
        <v>3</v>
      </c>
      <c r="O35">
        <v>1</v>
      </c>
      <c r="P35">
        <v>0</v>
      </c>
      <c r="Q35">
        <v>1</v>
      </c>
      <c r="R35">
        <v>0</v>
      </c>
    </row>
    <row r="36" spans="1:18">
      <c r="A36">
        <v>35</v>
      </c>
      <c r="B36">
        <v>2</v>
      </c>
      <c r="C36">
        <v>23</v>
      </c>
      <c r="D36">
        <v>4</v>
      </c>
      <c r="E36">
        <v>4</v>
      </c>
      <c r="F36">
        <v>1</v>
      </c>
      <c r="G36" t="s">
        <v>89</v>
      </c>
      <c r="H36">
        <v>1.48</v>
      </c>
      <c r="I36" s="2">
        <v>0.87058999999999997</v>
      </c>
      <c r="J36" s="47">
        <v>4</v>
      </c>
      <c r="K36" t="s">
        <v>18</v>
      </c>
      <c r="L36">
        <v>3</v>
      </c>
      <c r="M36" t="s">
        <v>18</v>
      </c>
      <c r="N36" s="56">
        <v>2</v>
      </c>
      <c r="O36">
        <v>1</v>
      </c>
      <c r="P36">
        <v>1</v>
      </c>
      <c r="Q36">
        <v>0</v>
      </c>
      <c r="R36">
        <v>1</v>
      </c>
    </row>
    <row r="37" spans="1:18">
      <c r="A37">
        <v>36</v>
      </c>
      <c r="B37">
        <v>2</v>
      </c>
      <c r="C37">
        <v>24</v>
      </c>
      <c r="D37">
        <v>1</v>
      </c>
      <c r="E37">
        <v>1</v>
      </c>
      <c r="F37">
        <v>1</v>
      </c>
      <c r="G37" t="s">
        <v>92</v>
      </c>
      <c r="H37">
        <v>1.52</v>
      </c>
      <c r="I37" s="2">
        <v>0.77156999999999998</v>
      </c>
      <c r="J37" s="47">
        <v>4</v>
      </c>
      <c r="K37" t="s">
        <v>5</v>
      </c>
      <c r="L37">
        <v>3</v>
      </c>
      <c r="M37" t="s">
        <v>13</v>
      </c>
      <c r="N37" s="56">
        <v>1</v>
      </c>
      <c r="O37">
        <v>1</v>
      </c>
      <c r="P37">
        <v>1</v>
      </c>
      <c r="Q37">
        <v>0</v>
      </c>
      <c r="R37">
        <v>0</v>
      </c>
    </row>
    <row r="38" spans="1:18">
      <c r="A38">
        <v>37</v>
      </c>
      <c r="B38">
        <v>2</v>
      </c>
      <c r="C38">
        <v>26</v>
      </c>
      <c r="D38">
        <v>1</v>
      </c>
      <c r="E38">
        <v>4</v>
      </c>
      <c r="F38">
        <v>0</v>
      </c>
      <c r="G38" t="s">
        <v>91</v>
      </c>
      <c r="H38">
        <v>1.48</v>
      </c>
      <c r="I38" s="2">
        <v>0.76683999999999997</v>
      </c>
      <c r="J38" s="47">
        <v>2</v>
      </c>
      <c r="K38" t="s">
        <v>13</v>
      </c>
      <c r="L38">
        <v>2</v>
      </c>
      <c r="M38" t="s">
        <v>13</v>
      </c>
      <c r="N38" s="56">
        <v>1</v>
      </c>
      <c r="O38">
        <v>1</v>
      </c>
      <c r="P38">
        <v>1</v>
      </c>
      <c r="Q38">
        <v>0</v>
      </c>
      <c r="R38">
        <v>0</v>
      </c>
    </row>
    <row r="39" spans="1:18">
      <c r="A39">
        <v>38</v>
      </c>
      <c r="B39">
        <v>2</v>
      </c>
      <c r="C39">
        <v>27</v>
      </c>
      <c r="D39">
        <v>4</v>
      </c>
      <c r="E39">
        <v>1</v>
      </c>
      <c r="F39">
        <v>0</v>
      </c>
      <c r="G39" t="s">
        <v>90</v>
      </c>
      <c r="H39">
        <v>1.49</v>
      </c>
      <c r="I39" s="2">
        <v>1.04196</v>
      </c>
      <c r="J39" s="47">
        <v>2</v>
      </c>
      <c r="K39" t="s">
        <v>0</v>
      </c>
      <c r="L39">
        <v>2</v>
      </c>
      <c r="M39" t="s">
        <v>15</v>
      </c>
      <c r="N39" s="56">
        <v>0</v>
      </c>
      <c r="O39">
        <v>1</v>
      </c>
      <c r="P39">
        <v>0</v>
      </c>
      <c r="Q39">
        <v>0</v>
      </c>
      <c r="R39">
        <v>0</v>
      </c>
    </row>
    <row r="40" spans="1:18">
      <c r="A40">
        <v>39</v>
      </c>
      <c r="B40">
        <v>2</v>
      </c>
      <c r="C40">
        <v>28</v>
      </c>
      <c r="D40">
        <v>1</v>
      </c>
      <c r="E40">
        <v>1</v>
      </c>
      <c r="F40">
        <v>1</v>
      </c>
      <c r="G40" t="s">
        <v>92</v>
      </c>
      <c r="H40">
        <v>1.66</v>
      </c>
      <c r="I40" s="2">
        <v>0.88770000000000004</v>
      </c>
      <c r="J40" s="47">
        <v>2</v>
      </c>
      <c r="K40" t="s">
        <v>0</v>
      </c>
      <c r="L40">
        <v>2</v>
      </c>
      <c r="M40" t="s">
        <v>15</v>
      </c>
      <c r="N40" s="56">
        <v>0</v>
      </c>
      <c r="O40">
        <v>1</v>
      </c>
      <c r="P40">
        <v>0</v>
      </c>
      <c r="Q40">
        <v>0</v>
      </c>
      <c r="R40">
        <v>0</v>
      </c>
    </row>
    <row r="41" spans="1:18">
      <c r="A41">
        <v>40</v>
      </c>
      <c r="B41">
        <v>2</v>
      </c>
      <c r="C41">
        <v>29</v>
      </c>
      <c r="D41">
        <v>4</v>
      </c>
      <c r="E41">
        <v>4</v>
      </c>
      <c r="F41">
        <v>1</v>
      </c>
      <c r="G41" t="s">
        <v>89</v>
      </c>
      <c r="H41">
        <v>1.62</v>
      </c>
      <c r="I41" s="2">
        <v>0.97006000000000003</v>
      </c>
      <c r="J41" s="47">
        <v>3</v>
      </c>
      <c r="K41" t="s">
        <v>13</v>
      </c>
      <c r="L41">
        <v>2</v>
      </c>
      <c r="M41" t="s">
        <v>13</v>
      </c>
      <c r="N41" s="56">
        <v>1</v>
      </c>
      <c r="O41">
        <v>1</v>
      </c>
      <c r="P41">
        <v>1</v>
      </c>
      <c r="Q41">
        <v>0</v>
      </c>
      <c r="R41">
        <v>0</v>
      </c>
    </row>
    <row r="42" spans="1:18">
      <c r="A42">
        <v>41</v>
      </c>
      <c r="B42">
        <v>2</v>
      </c>
      <c r="C42">
        <v>30</v>
      </c>
      <c r="D42">
        <v>4</v>
      </c>
      <c r="E42">
        <v>1</v>
      </c>
      <c r="F42">
        <v>0</v>
      </c>
      <c r="G42" t="s">
        <v>90</v>
      </c>
      <c r="H42">
        <v>1.69</v>
      </c>
      <c r="I42" s="2">
        <v>0.99412</v>
      </c>
      <c r="J42" s="47">
        <v>1</v>
      </c>
      <c r="K42" t="s">
        <v>18</v>
      </c>
      <c r="L42">
        <v>3</v>
      </c>
      <c r="M42" t="s">
        <v>18</v>
      </c>
      <c r="N42" s="56">
        <v>2</v>
      </c>
      <c r="O42">
        <v>1</v>
      </c>
      <c r="P42">
        <v>1</v>
      </c>
      <c r="Q42">
        <v>0</v>
      </c>
      <c r="R42">
        <v>1</v>
      </c>
    </row>
    <row r="43" spans="1:18">
      <c r="A43">
        <v>42</v>
      </c>
      <c r="B43">
        <v>2</v>
      </c>
      <c r="C43">
        <v>34</v>
      </c>
      <c r="D43">
        <v>1</v>
      </c>
      <c r="E43">
        <v>1</v>
      </c>
      <c r="F43">
        <v>1</v>
      </c>
      <c r="G43" t="s">
        <v>92</v>
      </c>
      <c r="H43">
        <v>1.43</v>
      </c>
      <c r="I43" s="2">
        <v>0.69081999999999999</v>
      </c>
      <c r="J43" s="47">
        <v>4</v>
      </c>
      <c r="K43" t="s">
        <v>19</v>
      </c>
      <c r="L43">
        <v>4</v>
      </c>
      <c r="M43" t="s">
        <v>83</v>
      </c>
      <c r="N43" s="56">
        <v>2</v>
      </c>
      <c r="O43">
        <v>1</v>
      </c>
      <c r="P43">
        <v>0</v>
      </c>
      <c r="Q43">
        <v>1</v>
      </c>
      <c r="R43">
        <v>1</v>
      </c>
    </row>
    <row r="44" spans="1:18">
      <c r="A44">
        <v>43</v>
      </c>
      <c r="B44">
        <v>2</v>
      </c>
      <c r="C44">
        <v>35</v>
      </c>
      <c r="D44">
        <v>1</v>
      </c>
      <c r="E44">
        <v>1</v>
      </c>
      <c r="F44">
        <v>1</v>
      </c>
      <c r="G44" t="s">
        <v>92</v>
      </c>
      <c r="H44">
        <v>1.46</v>
      </c>
      <c r="I44" s="2">
        <v>0.78075000000000006</v>
      </c>
      <c r="J44" s="47">
        <v>2</v>
      </c>
      <c r="K44" t="s">
        <v>8</v>
      </c>
      <c r="L44">
        <v>1</v>
      </c>
      <c r="M44" t="s">
        <v>8</v>
      </c>
      <c r="N44" s="56">
        <v>0</v>
      </c>
      <c r="O44">
        <v>0</v>
      </c>
      <c r="P44">
        <v>1</v>
      </c>
      <c r="Q44">
        <v>0</v>
      </c>
      <c r="R44">
        <v>0</v>
      </c>
    </row>
    <row r="45" spans="1:18">
      <c r="A45">
        <v>44</v>
      </c>
      <c r="B45">
        <v>2</v>
      </c>
      <c r="C45">
        <v>36</v>
      </c>
      <c r="D45">
        <v>1</v>
      </c>
      <c r="E45">
        <v>4</v>
      </c>
      <c r="F45">
        <v>0</v>
      </c>
      <c r="G45" t="s">
        <v>91</v>
      </c>
      <c r="H45">
        <v>1.58</v>
      </c>
      <c r="I45" s="2">
        <v>0.84492</v>
      </c>
      <c r="J45" s="47">
        <v>2</v>
      </c>
      <c r="K45" t="s">
        <v>13</v>
      </c>
      <c r="L45">
        <v>2</v>
      </c>
      <c r="M45" t="s">
        <v>13</v>
      </c>
      <c r="N45" s="56">
        <v>1</v>
      </c>
      <c r="O45">
        <v>1</v>
      </c>
      <c r="P45">
        <v>1</v>
      </c>
      <c r="Q45">
        <v>0</v>
      </c>
      <c r="R45">
        <v>0</v>
      </c>
    </row>
    <row r="46" spans="1:18">
      <c r="A46">
        <v>45</v>
      </c>
      <c r="B46">
        <v>2</v>
      </c>
      <c r="C46">
        <v>37</v>
      </c>
      <c r="D46">
        <v>4</v>
      </c>
      <c r="E46">
        <v>4</v>
      </c>
      <c r="F46">
        <v>1</v>
      </c>
      <c r="G46" t="s">
        <v>89</v>
      </c>
      <c r="H46">
        <v>1.34</v>
      </c>
      <c r="I46" s="2">
        <v>0.75705999999999996</v>
      </c>
      <c r="J46" s="47">
        <v>3</v>
      </c>
      <c r="K46" t="s">
        <v>15</v>
      </c>
      <c r="L46">
        <v>1</v>
      </c>
      <c r="M46" t="s">
        <v>15</v>
      </c>
      <c r="N46" s="56">
        <v>0</v>
      </c>
      <c r="O46">
        <v>1</v>
      </c>
      <c r="P46">
        <v>0</v>
      </c>
      <c r="Q46">
        <v>0</v>
      </c>
      <c r="R46">
        <v>0</v>
      </c>
    </row>
    <row r="47" spans="1:18">
      <c r="A47">
        <v>46</v>
      </c>
      <c r="B47">
        <v>2</v>
      </c>
      <c r="C47">
        <v>39</v>
      </c>
      <c r="D47">
        <v>1</v>
      </c>
      <c r="E47">
        <v>4</v>
      </c>
      <c r="F47">
        <v>0</v>
      </c>
      <c r="G47" t="s">
        <v>91</v>
      </c>
      <c r="H47">
        <v>1.17</v>
      </c>
      <c r="I47" s="2">
        <v>0.62566999999999995</v>
      </c>
      <c r="J47" s="47">
        <v>2</v>
      </c>
      <c r="K47" t="s">
        <v>15</v>
      </c>
      <c r="L47">
        <v>1</v>
      </c>
      <c r="M47" t="s">
        <v>15</v>
      </c>
      <c r="N47" s="56">
        <v>0</v>
      </c>
      <c r="O47">
        <v>1</v>
      </c>
      <c r="P47">
        <v>0</v>
      </c>
      <c r="Q47">
        <v>0</v>
      </c>
      <c r="R47">
        <v>0</v>
      </c>
    </row>
    <row r="48" spans="1:18">
      <c r="A48">
        <v>47</v>
      </c>
      <c r="B48">
        <v>2</v>
      </c>
      <c r="C48">
        <v>41</v>
      </c>
      <c r="D48">
        <v>1</v>
      </c>
      <c r="E48">
        <v>4</v>
      </c>
      <c r="F48">
        <v>0</v>
      </c>
      <c r="G48" t="s">
        <v>91</v>
      </c>
      <c r="H48">
        <v>1.61</v>
      </c>
      <c r="I48" s="2">
        <v>0.87978000000000001</v>
      </c>
      <c r="J48" s="47">
        <v>3</v>
      </c>
      <c r="K48" t="s">
        <v>15</v>
      </c>
      <c r="L48">
        <v>1</v>
      </c>
      <c r="M48" t="s">
        <v>15</v>
      </c>
      <c r="N48" s="56">
        <v>0</v>
      </c>
      <c r="O48">
        <v>1</v>
      </c>
      <c r="P48">
        <v>0</v>
      </c>
      <c r="Q48">
        <v>0</v>
      </c>
      <c r="R48">
        <v>0</v>
      </c>
    </row>
    <row r="49" spans="1:18">
      <c r="A49">
        <v>48</v>
      </c>
      <c r="B49">
        <v>2</v>
      </c>
      <c r="C49">
        <v>42</v>
      </c>
      <c r="D49">
        <v>1</v>
      </c>
      <c r="E49">
        <v>1</v>
      </c>
      <c r="F49">
        <v>1</v>
      </c>
      <c r="G49" t="s">
        <v>92</v>
      </c>
      <c r="H49">
        <v>1.82</v>
      </c>
      <c r="I49" s="2">
        <v>0.95789000000000002</v>
      </c>
      <c r="J49" s="47">
        <v>2</v>
      </c>
      <c r="K49" t="s">
        <v>5</v>
      </c>
      <c r="L49">
        <v>3</v>
      </c>
      <c r="M49" t="s">
        <v>13</v>
      </c>
      <c r="N49" s="56">
        <v>1</v>
      </c>
      <c r="O49">
        <v>1</v>
      </c>
      <c r="P49">
        <v>1</v>
      </c>
      <c r="Q49">
        <v>0</v>
      </c>
      <c r="R49">
        <v>0</v>
      </c>
    </row>
    <row r="50" spans="1:18">
      <c r="A50">
        <v>49</v>
      </c>
      <c r="B50">
        <v>3</v>
      </c>
      <c r="C50">
        <v>1</v>
      </c>
      <c r="D50">
        <v>4</v>
      </c>
      <c r="E50">
        <v>4</v>
      </c>
      <c r="F50">
        <v>1</v>
      </c>
      <c r="G50" t="s">
        <v>89</v>
      </c>
      <c r="H50">
        <v>1.44</v>
      </c>
      <c r="I50" s="2">
        <v>0.96</v>
      </c>
      <c r="J50" s="47">
        <v>3</v>
      </c>
      <c r="K50" t="s">
        <v>13</v>
      </c>
      <c r="L50">
        <v>2</v>
      </c>
      <c r="M50" t="s">
        <v>13</v>
      </c>
      <c r="N50" s="56">
        <v>1</v>
      </c>
      <c r="O50">
        <v>1</v>
      </c>
      <c r="P50">
        <v>1</v>
      </c>
      <c r="Q50">
        <v>0</v>
      </c>
      <c r="R50">
        <v>0</v>
      </c>
    </row>
    <row r="51" spans="1:18">
      <c r="A51">
        <v>50</v>
      </c>
      <c r="B51">
        <v>3</v>
      </c>
      <c r="C51">
        <v>4</v>
      </c>
      <c r="D51">
        <v>4</v>
      </c>
      <c r="E51">
        <v>4</v>
      </c>
      <c r="F51">
        <v>1</v>
      </c>
      <c r="G51" t="s">
        <v>89</v>
      </c>
      <c r="H51">
        <v>1.56</v>
      </c>
      <c r="I51" s="2">
        <v>0.95706000000000002</v>
      </c>
      <c r="J51" s="47">
        <v>4</v>
      </c>
      <c r="K51" t="s">
        <v>20</v>
      </c>
      <c r="L51">
        <v>4</v>
      </c>
      <c r="M51" t="s">
        <v>13</v>
      </c>
      <c r="N51" s="56">
        <v>1</v>
      </c>
      <c r="O51">
        <v>1</v>
      </c>
      <c r="P51">
        <v>1</v>
      </c>
      <c r="Q51">
        <v>0</v>
      </c>
      <c r="R51">
        <v>0</v>
      </c>
    </row>
    <row r="52" spans="1:18">
      <c r="A52">
        <v>51</v>
      </c>
      <c r="B52">
        <v>3</v>
      </c>
      <c r="C52">
        <v>7</v>
      </c>
      <c r="D52">
        <v>4</v>
      </c>
      <c r="E52">
        <v>1</v>
      </c>
      <c r="F52">
        <v>0</v>
      </c>
      <c r="G52" t="s">
        <v>90</v>
      </c>
      <c r="H52">
        <v>1.51</v>
      </c>
      <c r="I52" s="2">
        <v>0.96177999999999997</v>
      </c>
      <c r="J52" s="47">
        <v>3</v>
      </c>
      <c r="K52" t="s">
        <v>21</v>
      </c>
      <c r="L52">
        <v>4</v>
      </c>
      <c r="M52" t="s">
        <v>38</v>
      </c>
      <c r="N52" s="56">
        <v>1</v>
      </c>
      <c r="O52">
        <v>1</v>
      </c>
      <c r="P52">
        <v>0</v>
      </c>
      <c r="Q52">
        <v>1</v>
      </c>
      <c r="R52">
        <v>0</v>
      </c>
    </row>
    <row r="53" spans="1:18">
      <c r="A53">
        <v>52</v>
      </c>
      <c r="B53">
        <v>3</v>
      </c>
      <c r="C53">
        <v>9</v>
      </c>
      <c r="D53">
        <v>4</v>
      </c>
      <c r="E53">
        <v>1</v>
      </c>
      <c r="F53">
        <v>0</v>
      </c>
      <c r="G53" t="s">
        <v>90</v>
      </c>
      <c r="H53">
        <v>1.06</v>
      </c>
      <c r="I53" s="2">
        <v>0.74126000000000003</v>
      </c>
      <c r="J53" s="47">
        <v>3</v>
      </c>
      <c r="K53" t="s">
        <v>2</v>
      </c>
      <c r="L53">
        <v>3</v>
      </c>
      <c r="M53" t="s">
        <v>15</v>
      </c>
      <c r="N53" s="56">
        <v>0</v>
      </c>
      <c r="O53">
        <v>1</v>
      </c>
      <c r="P53">
        <v>0</v>
      </c>
      <c r="Q53">
        <v>0</v>
      </c>
      <c r="R53">
        <v>0</v>
      </c>
    </row>
    <row r="54" spans="1:18">
      <c r="A54">
        <v>53</v>
      </c>
      <c r="B54">
        <v>3</v>
      </c>
      <c r="C54">
        <v>11</v>
      </c>
      <c r="D54">
        <v>4</v>
      </c>
      <c r="E54">
        <v>4</v>
      </c>
      <c r="F54">
        <v>1</v>
      </c>
      <c r="G54" t="s">
        <v>89</v>
      </c>
      <c r="H54">
        <v>2.06</v>
      </c>
      <c r="I54" s="2">
        <v>1.04569</v>
      </c>
      <c r="J54" s="47">
        <v>3</v>
      </c>
      <c r="K54" t="s">
        <v>22</v>
      </c>
      <c r="L54">
        <v>4</v>
      </c>
      <c r="M54" t="s">
        <v>46</v>
      </c>
      <c r="N54" s="56">
        <v>2</v>
      </c>
      <c r="O54">
        <v>1</v>
      </c>
      <c r="P54">
        <v>1</v>
      </c>
      <c r="Q54">
        <v>1</v>
      </c>
      <c r="R54">
        <v>0</v>
      </c>
    </row>
    <row r="55" spans="1:18">
      <c r="A55">
        <v>54</v>
      </c>
      <c r="B55">
        <v>3</v>
      </c>
      <c r="C55">
        <v>15</v>
      </c>
      <c r="D55">
        <v>4</v>
      </c>
      <c r="E55">
        <v>1</v>
      </c>
      <c r="F55">
        <v>0</v>
      </c>
      <c r="G55" t="s">
        <v>90</v>
      </c>
      <c r="H55">
        <v>1.84</v>
      </c>
      <c r="I55" s="2">
        <v>1.00546</v>
      </c>
      <c r="J55" s="47">
        <v>1</v>
      </c>
      <c r="K55" t="s">
        <v>23</v>
      </c>
      <c r="L55">
        <v>3</v>
      </c>
      <c r="M55" t="s">
        <v>23</v>
      </c>
      <c r="N55" s="56">
        <v>2</v>
      </c>
      <c r="O55">
        <v>1</v>
      </c>
      <c r="P55">
        <v>1</v>
      </c>
      <c r="Q55">
        <v>0</v>
      </c>
      <c r="R55">
        <v>1</v>
      </c>
    </row>
    <row r="56" spans="1:18">
      <c r="A56">
        <v>55</v>
      </c>
      <c r="B56">
        <v>3</v>
      </c>
      <c r="C56">
        <v>16</v>
      </c>
      <c r="D56">
        <v>4</v>
      </c>
      <c r="E56">
        <v>4</v>
      </c>
      <c r="F56">
        <v>1</v>
      </c>
      <c r="G56" t="s">
        <v>89</v>
      </c>
      <c r="H56">
        <v>1.3</v>
      </c>
      <c r="I56" s="2">
        <v>0.77844000000000002</v>
      </c>
      <c r="J56" s="47">
        <v>3</v>
      </c>
      <c r="K56" t="s">
        <v>13</v>
      </c>
      <c r="L56">
        <v>2</v>
      </c>
      <c r="M56" t="s">
        <v>13</v>
      </c>
      <c r="N56" s="56">
        <v>1</v>
      </c>
      <c r="O56">
        <v>1</v>
      </c>
      <c r="P56">
        <v>1</v>
      </c>
      <c r="Q56">
        <v>0</v>
      </c>
      <c r="R56">
        <v>0</v>
      </c>
    </row>
    <row r="57" spans="1:18">
      <c r="A57">
        <v>56</v>
      </c>
      <c r="B57">
        <v>3</v>
      </c>
      <c r="C57">
        <v>17</v>
      </c>
      <c r="D57">
        <v>1</v>
      </c>
      <c r="E57">
        <v>1</v>
      </c>
      <c r="F57">
        <v>1</v>
      </c>
      <c r="G57" t="s">
        <v>92</v>
      </c>
      <c r="H57">
        <v>1.82</v>
      </c>
      <c r="I57" s="2">
        <v>0.91</v>
      </c>
      <c r="J57" s="47">
        <v>4</v>
      </c>
      <c r="K57" t="s">
        <v>24</v>
      </c>
      <c r="L57">
        <v>3</v>
      </c>
      <c r="M57" t="s">
        <v>31</v>
      </c>
      <c r="N57" s="56">
        <v>1</v>
      </c>
      <c r="O57">
        <v>1</v>
      </c>
      <c r="P57">
        <v>0</v>
      </c>
      <c r="Q57">
        <v>0</v>
      </c>
      <c r="R57">
        <v>1</v>
      </c>
    </row>
    <row r="58" spans="1:18">
      <c r="A58">
        <v>57</v>
      </c>
      <c r="B58">
        <v>3</v>
      </c>
      <c r="C58">
        <v>18</v>
      </c>
      <c r="D58">
        <v>1</v>
      </c>
      <c r="E58">
        <v>4</v>
      </c>
      <c r="F58">
        <v>0</v>
      </c>
      <c r="G58" t="s">
        <v>91</v>
      </c>
      <c r="H58">
        <v>1.3</v>
      </c>
      <c r="I58" s="2">
        <v>0.68420999999999998</v>
      </c>
      <c r="J58" s="47">
        <v>2</v>
      </c>
      <c r="K58" t="s">
        <v>25</v>
      </c>
      <c r="L58">
        <v>3</v>
      </c>
      <c r="M58" t="s">
        <v>25</v>
      </c>
      <c r="N58" s="56">
        <v>2</v>
      </c>
      <c r="O58">
        <v>1</v>
      </c>
      <c r="P58">
        <v>1</v>
      </c>
      <c r="Q58">
        <v>0</v>
      </c>
      <c r="R58">
        <v>1</v>
      </c>
    </row>
    <row r="59" spans="1:18">
      <c r="A59">
        <v>58</v>
      </c>
      <c r="B59">
        <v>3</v>
      </c>
      <c r="C59">
        <v>19</v>
      </c>
      <c r="D59">
        <v>1</v>
      </c>
      <c r="E59">
        <v>1</v>
      </c>
      <c r="F59">
        <v>1</v>
      </c>
      <c r="G59" t="s">
        <v>92</v>
      </c>
      <c r="H59">
        <v>1.53</v>
      </c>
      <c r="I59" s="2">
        <v>0.81818000000000002</v>
      </c>
      <c r="J59" s="47">
        <v>5</v>
      </c>
      <c r="K59" t="s">
        <v>26</v>
      </c>
      <c r="L59">
        <v>3</v>
      </c>
      <c r="M59" t="s">
        <v>38</v>
      </c>
      <c r="N59" s="56">
        <v>1</v>
      </c>
      <c r="O59">
        <v>1</v>
      </c>
      <c r="P59">
        <v>0</v>
      </c>
      <c r="Q59">
        <v>1</v>
      </c>
      <c r="R59">
        <v>0</v>
      </c>
    </row>
    <row r="60" spans="1:18">
      <c r="A60">
        <v>59</v>
      </c>
      <c r="B60">
        <v>3</v>
      </c>
      <c r="C60">
        <v>23</v>
      </c>
      <c r="D60">
        <v>4</v>
      </c>
      <c r="E60">
        <v>1</v>
      </c>
      <c r="F60">
        <v>0</v>
      </c>
      <c r="G60" t="s">
        <v>90</v>
      </c>
      <c r="H60">
        <v>1.36</v>
      </c>
      <c r="I60" s="2">
        <v>0.8</v>
      </c>
      <c r="J60" s="47">
        <v>2</v>
      </c>
      <c r="K60" t="s">
        <v>13</v>
      </c>
      <c r="L60">
        <v>2</v>
      </c>
      <c r="M60" t="s">
        <v>13</v>
      </c>
      <c r="N60" s="56">
        <v>1</v>
      </c>
      <c r="O60">
        <v>1</v>
      </c>
      <c r="P60">
        <v>1</v>
      </c>
      <c r="Q60">
        <v>0</v>
      </c>
      <c r="R60">
        <v>0</v>
      </c>
    </row>
    <row r="61" spans="1:18">
      <c r="A61">
        <v>60</v>
      </c>
      <c r="B61">
        <v>3</v>
      </c>
      <c r="C61">
        <v>24</v>
      </c>
      <c r="D61">
        <v>1</v>
      </c>
      <c r="E61">
        <v>1</v>
      </c>
      <c r="F61">
        <v>1</v>
      </c>
      <c r="G61" t="s">
        <v>92</v>
      </c>
      <c r="H61">
        <v>1.75</v>
      </c>
      <c r="I61" s="2">
        <v>0.88832</v>
      </c>
      <c r="J61" s="47">
        <v>5</v>
      </c>
      <c r="K61" t="s">
        <v>27</v>
      </c>
      <c r="L61">
        <v>4</v>
      </c>
      <c r="M61" t="s">
        <v>27</v>
      </c>
      <c r="N61" s="56">
        <v>3</v>
      </c>
      <c r="O61">
        <v>1</v>
      </c>
      <c r="P61">
        <v>1</v>
      </c>
      <c r="Q61">
        <v>1</v>
      </c>
      <c r="R61">
        <v>0</v>
      </c>
    </row>
    <row r="62" spans="1:18">
      <c r="A62">
        <v>61</v>
      </c>
      <c r="B62">
        <v>3</v>
      </c>
      <c r="C62">
        <v>26</v>
      </c>
      <c r="D62">
        <v>1</v>
      </c>
      <c r="E62">
        <v>1</v>
      </c>
      <c r="F62">
        <v>1</v>
      </c>
      <c r="G62" t="s">
        <v>92</v>
      </c>
      <c r="H62">
        <v>1.94</v>
      </c>
      <c r="I62" s="2">
        <v>1.00518</v>
      </c>
      <c r="J62" s="47">
        <v>4</v>
      </c>
      <c r="K62" t="s">
        <v>28</v>
      </c>
      <c r="L62">
        <v>5</v>
      </c>
      <c r="M62" t="s">
        <v>28</v>
      </c>
      <c r="N62" s="56">
        <v>4</v>
      </c>
      <c r="O62">
        <v>1</v>
      </c>
      <c r="P62">
        <v>1</v>
      </c>
      <c r="Q62">
        <v>1</v>
      </c>
      <c r="R62">
        <v>0</v>
      </c>
    </row>
    <row r="63" spans="1:18">
      <c r="A63">
        <v>62</v>
      </c>
      <c r="B63">
        <v>3</v>
      </c>
      <c r="C63">
        <v>27</v>
      </c>
      <c r="D63">
        <v>4</v>
      </c>
      <c r="E63">
        <v>1</v>
      </c>
      <c r="F63">
        <v>0</v>
      </c>
      <c r="G63" t="s">
        <v>90</v>
      </c>
      <c r="H63">
        <v>1.49</v>
      </c>
      <c r="I63" s="2">
        <v>1.04196</v>
      </c>
      <c r="J63" s="47">
        <v>3</v>
      </c>
      <c r="K63" t="s">
        <v>29</v>
      </c>
      <c r="L63">
        <v>5</v>
      </c>
      <c r="M63" t="s">
        <v>13</v>
      </c>
      <c r="N63" s="56">
        <v>2</v>
      </c>
      <c r="O63">
        <v>1</v>
      </c>
      <c r="P63">
        <v>1</v>
      </c>
      <c r="Q63">
        <v>0</v>
      </c>
      <c r="R63">
        <v>0</v>
      </c>
    </row>
    <row r="64" spans="1:18">
      <c r="A64">
        <v>63</v>
      </c>
      <c r="B64">
        <v>3</v>
      </c>
      <c r="C64">
        <v>28</v>
      </c>
      <c r="D64">
        <v>1</v>
      </c>
      <c r="E64">
        <v>1</v>
      </c>
      <c r="F64">
        <v>1</v>
      </c>
      <c r="G64" t="s">
        <v>92</v>
      </c>
      <c r="H64">
        <v>1.0900000000000001</v>
      </c>
      <c r="I64" s="2">
        <v>0.58289000000000002</v>
      </c>
      <c r="J64" s="47">
        <v>5</v>
      </c>
      <c r="K64" t="s">
        <v>15</v>
      </c>
      <c r="L64">
        <v>1</v>
      </c>
      <c r="M64" t="s">
        <v>15</v>
      </c>
      <c r="N64" s="56">
        <v>0</v>
      </c>
      <c r="O64">
        <v>1</v>
      </c>
      <c r="P64">
        <v>0</v>
      </c>
      <c r="Q64">
        <v>0</v>
      </c>
      <c r="R64">
        <v>0</v>
      </c>
    </row>
    <row r="65" spans="1:18">
      <c r="A65">
        <v>64</v>
      </c>
      <c r="B65">
        <v>3</v>
      </c>
      <c r="C65">
        <v>29</v>
      </c>
      <c r="D65">
        <v>4</v>
      </c>
      <c r="E65">
        <v>1</v>
      </c>
      <c r="F65">
        <v>0</v>
      </c>
      <c r="G65" t="s">
        <v>90</v>
      </c>
      <c r="H65">
        <v>1.68</v>
      </c>
      <c r="I65" s="2">
        <v>1.0059899999999999</v>
      </c>
      <c r="J65" s="47">
        <v>4</v>
      </c>
      <c r="K65" t="s">
        <v>30</v>
      </c>
      <c r="L65">
        <v>3</v>
      </c>
      <c r="M65" t="s">
        <v>30</v>
      </c>
      <c r="N65" s="56">
        <v>2</v>
      </c>
      <c r="O65">
        <v>1</v>
      </c>
      <c r="P65">
        <v>1</v>
      </c>
      <c r="Q65">
        <v>1</v>
      </c>
      <c r="R65">
        <v>0</v>
      </c>
    </row>
    <row r="66" spans="1:18">
      <c r="A66">
        <v>65</v>
      </c>
      <c r="B66">
        <v>3</v>
      </c>
      <c r="C66">
        <v>30</v>
      </c>
      <c r="D66">
        <v>4</v>
      </c>
      <c r="E66">
        <v>4</v>
      </c>
      <c r="F66">
        <v>1</v>
      </c>
      <c r="G66" t="s">
        <v>89</v>
      </c>
      <c r="H66">
        <v>1.73</v>
      </c>
      <c r="I66" s="2">
        <v>1.0176499999999999</v>
      </c>
      <c r="J66" s="47">
        <v>3</v>
      </c>
      <c r="K66" t="s">
        <v>5</v>
      </c>
      <c r="L66">
        <v>3</v>
      </c>
      <c r="M66" t="s">
        <v>13</v>
      </c>
      <c r="N66" s="56">
        <v>1</v>
      </c>
      <c r="O66">
        <v>1</v>
      </c>
      <c r="P66">
        <v>1</v>
      </c>
      <c r="Q66">
        <v>0</v>
      </c>
      <c r="R66">
        <v>0</v>
      </c>
    </row>
    <row r="67" spans="1:18">
      <c r="A67">
        <v>66</v>
      </c>
      <c r="B67">
        <v>3</v>
      </c>
      <c r="C67">
        <v>34</v>
      </c>
      <c r="D67">
        <v>1</v>
      </c>
      <c r="E67">
        <v>1</v>
      </c>
      <c r="F67">
        <v>1</v>
      </c>
      <c r="G67" t="s">
        <v>92</v>
      </c>
      <c r="H67">
        <v>1.61</v>
      </c>
      <c r="I67" s="2">
        <v>0.77778000000000003</v>
      </c>
      <c r="J67" s="47">
        <v>3</v>
      </c>
      <c r="K67" t="s">
        <v>26</v>
      </c>
      <c r="L67">
        <v>3</v>
      </c>
      <c r="M67" t="s">
        <v>38</v>
      </c>
      <c r="N67" s="56">
        <v>1</v>
      </c>
      <c r="O67">
        <v>1</v>
      </c>
      <c r="P67">
        <v>0</v>
      </c>
      <c r="Q67">
        <v>1</v>
      </c>
      <c r="R67">
        <v>0</v>
      </c>
    </row>
    <row r="68" spans="1:18">
      <c r="A68">
        <v>67</v>
      </c>
      <c r="B68">
        <v>3</v>
      </c>
      <c r="C68">
        <v>35</v>
      </c>
      <c r="D68">
        <v>1</v>
      </c>
      <c r="E68">
        <v>1</v>
      </c>
      <c r="F68">
        <v>1</v>
      </c>
      <c r="G68" t="s">
        <v>92</v>
      </c>
      <c r="H68">
        <v>1.75</v>
      </c>
      <c r="I68" s="2">
        <v>0.93583000000000005</v>
      </c>
      <c r="J68" s="47">
        <v>4</v>
      </c>
      <c r="K68" t="s">
        <v>26</v>
      </c>
      <c r="L68">
        <v>3</v>
      </c>
      <c r="M68" t="s">
        <v>38</v>
      </c>
      <c r="N68" s="56">
        <v>1</v>
      </c>
      <c r="O68">
        <v>1</v>
      </c>
      <c r="P68">
        <v>0</v>
      </c>
      <c r="Q68">
        <v>1</v>
      </c>
      <c r="R68">
        <v>0</v>
      </c>
    </row>
    <row r="69" spans="1:18">
      <c r="A69">
        <v>68</v>
      </c>
      <c r="B69">
        <v>3</v>
      </c>
      <c r="C69">
        <v>36</v>
      </c>
      <c r="D69">
        <v>1</v>
      </c>
      <c r="E69">
        <v>4</v>
      </c>
      <c r="F69">
        <v>0</v>
      </c>
      <c r="G69" t="s">
        <v>91</v>
      </c>
      <c r="H69">
        <v>1.59</v>
      </c>
      <c r="I69" s="2">
        <v>0.85026999999999997</v>
      </c>
      <c r="J69" s="47">
        <v>2</v>
      </c>
      <c r="K69" t="s">
        <v>11</v>
      </c>
      <c r="L69">
        <v>3</v>
      </c>
      <c r="M69" t="s">
        <v>11</v>
      </c>
      <c r="N69" s="56">
        <v>2</v>
      </c>
      <c r="O69">
        <v>0</v>
      </c>
      <c r="P69">
        <v>1</v>
      </c>
      <c r="Q69">
        <v>0</v>
      </c>
      <c r="R69">
        <v>1</v>
      </c>
    </row>
    <row r="70" spans="1:18">
      <c r="A70">
        <v>69</v>
      </c>
      <c r="B70">
        <v>3</v>
      </c>
      <c r="C70">
        <v>37</v>
      </c>
      <c r="D70">
        <v>4</v>
      </c>
      <c r="E70">
        <v>4</v>
      </c>
      <c r="F70">
        <v>1</v>
      </c>
      <c r="G70" t="s">
        <v>89</v>
      </c>
      <c r="H70">
        <v>1.77</v>
      </c>
      <c r="I70" s="2">
        <v>1</v>
      </c>
      <c r="J70" s="47">
        <v>3</v>
      </c>
      <c r="K70" t="s">
        <v>0</v>
      </c>
      <c r="L70">
        <v>2</v>
      </c>
      <c r="M70" t="s">
        <v>15</v>
      </c>
      <c r="N70" s="56">
        <v>0</v>
      </c>
      <c r="O70">
        <v>1</v>
      </c>
      <c r="P70">
        <v>0</v>
      </c>
      <c r="Q70">
        <v>0</v>
      </c>
      <c r="R70">
        <v>0</v>
      </c>
    </row>
    <row r="71" spans="1:18">
      <c r="A71">
        <v>70</v>
      </c>
      <c r="B71">
        <v>3</v>
      </c>
      <c r="C71">
        <v>39</v>
      </c>
      <c r="D71">
        <v>1</v>
      </c>
      <c r="E71">
        <v>1</v>
      </c>
      <c r="F71">
        <v>1</v>
      </c>
      <c r="G71" t="s">
        <v>92</v>
      </c>
      <c r="H71">
        <v>1.43</v>
      </c>
      <c r="I71" s="2">
        <v>0.76471</v>
      </c>
      <c r="J71" s="47">
        <v>4</v>
      </c>
      <c r="K71" t="s">
        <v>26</v>
      </c>
      <c r="L71">
        <v>3</v>
      </c>
      <c r="M71" t="s">
        <v>38</v>
      </c>
      <c r="N71" s="56">
        <v>1</v>
      </c>
      <c r="O71">
        <v>1</v>
      </c>
      <c r="P71">
        <v>0</v>
      </c>
      <c r="Q71">
        <v>1</v>
      </c>
      <c r="R71">
        <v>0</v>
      </c>
    </row>
    <row r="72" spans="1:18">
      <c r="A72">
        <v>71</v>
      </c>
      <c r="B72">
        <v>3</v>
      </c>
      <c r="C72">
        <v>41</v>
      </c>
      <c r="D72">
        <v>1</v>
      </c>
      <c r="E72">
        <v>1</v>
      </c>
      <c r="F72">
        <v>1</v>
      </c>
      <c r="G72" t="s">
        <v>92</v>
      </c>
      <c r="H72">
        <v>1.43</v>
      </c>
      <c r="I72" s="2">
        <v>0.78142</v>
      </c>
      <c r="J72" s="47">
        <v>4</v>
      </c>
      <c r="K72" t="s">
        <v>12</v>
      </c>
      <c r="L72">
        <v>2</v>
      </c>
      <c r="M72" t="s">
        <v>12</v>
      </c>
      <c r="N72" s="56">
        <v>1</v>
      </c>
      <c r="O72">
        <v>0</v>
      </c>
      <c r="P72">
        <v>1</v>
      </c>
      <c r="Q72">
        <v>1</v>
      </c>
      <c r="R72">
        <v>0</v>
      </c>
    </row>
    <row r="73" spans="1:18">
      <c r="A73">
        <v>72</v>
      </c>
      <c r="B73">
        <v>3</v>
      </c>
      <c r="C73">
        <v>42</v>
      </c>
      <c r="D73">
        <v>1</v>
      </c>
      <c r="E73">
        <v>1</v>
      </c>
      <c r="F73">
        <v>1</v>
      </c>
      <c r="G73" t="s">
        <v>92</v>
      </c>
      <c r="H73">
        <v>1.61</v>
      </c>
      <c r="I73" s="2">
        <v>0.84736999999999996</v>
      </c>
      <c r="J73" s="47">
        <v>4</v>
      </c>
      <c r="K73" t="s">
        <v>2</v>
      </c>
      <c r="L73">
        <v>3</v>
      </c>
      <c r="M73" t="s">
        <v>15</v>
      </c>
      <c r="N73" s="56">
        <v>0</v>
      </c>
      <c r="O73">
        <v>1</v>
      </c>
      <c r="P73">
        <v>0</v>
      </c>
      <c r="Q73">
        <v>0</v>
      </c>
      <c r="R73">
        <v>0</v>
      </c>
    </row>
    <row r="74" spans="1:18">
      <c r="A74">
        <v>73</v>
      </c>
      <c r="B74">
        <v>4</v>
      </c>
      <c r="C74">
        <v>1</v>
      </c>
      <c r="D74">
        <v>4</v>
      </c>
      <c r="E74">
        <v>1</v>
      </c>
      <c r="F74">
        <v>0</v>
      </c>
      <c r="G74" t="s">
        <v>90</v>
      </c>
      <c r="H74">
        <v>1.17</v>
      </c>
      <c r="I74" s="2">
        <v>0.78</v>
      </c>
      <c r="J74" s="47">
        <v>2</v>
      </c>
      <c r="K74" t="s">
        <v>31</v>
      </c>
      <c r="L74">
        <v>2</v>
      </c>
      <c r="M74" t="s">
        <v>31</v>
      </c>
      <c r="N74" s="56">
        <v>1</v>
      </c>
      <c r="O74">
        <v>1</v>
      </c>
      <c r="P74">
        <v>0</v>
      </c>
      <c r="Q74">
        <v>0</v>
      </c>
      <c r="R74">
        <v>1</v>
      </c>
    </row>
    <row r="75" spans="1:18">
      <c r="A75">
        <v>74</v>
      </c>
      <c r="B75">
        <v>4</v>
      </c>
      <c r="C75">
        <v>4</v>
      </c>
      <c r="D75">
        <v>4</v>
      </c>
      <c r="E75">
        <v>1</v>
      </c>
      <c r="F75">
        <v>0</v>
      </c>
      <c r="G75" t="s">
        <v>90</v>
      </c>
      <c r="H75">
        <v>1.39</v>
      </c>
      <c r="I75" s="2">
        <v>0.85275999999999996</v>
      </c>
      <c r="J75" s="47">
        <v>3</v>
      </c>
      <c r="K75" t="s">
        <v>32</v>
      </c>
      <c r="L75">
        <v>2</v>
      </c>
      <c r="M75" t="s">
        <v>34</v>
      </c>
      <c r="N75" s="56">
        <v>0</v>
      </c>
      <c r="O75">
        <v>0</v>
      </c>
      <c r="P75">
        <v>0</v>
      </c>
      <c r="Q75">
        <v>0</v>
      </c>
      <c r="R75">
        <v>1</v>
      </c>
    </row>
    <row r="76" spans="1:18">
      <c r="A76">
        <v>75</v>
      </c>
      <c r="B76">
        <v>4</v>
      </c>
      <c r="C76">
        <v>7</v>
      </c>
      <c r="D76">
        <v>4</v>
      </c>
      <c r="E76">
        <v>1</v>
      </c>
      <c r="F76">
        <v>0</v>
      </c>
      <c r="G76" t="s">
        <v>90</v>
      </c>
      <c r="H76">
        <v>1.4</v>
      </c>
      <c r="I76" s="2">
        <v>0.89171999999999996</v>
      </c>
      <c r="J76" s="47">
        <v>2</v>
      </c>
      <c r="K76" t="s">
        <v>2</v>
      </c>
      <c r="L76">
        <v>3</v>
      </c>
      <c r="M76" t="s">
        <v>15</v>
      </c>
      <c r="N76" s="56">
        <v>0</v>
      </c>
      <c r="O76">
        <v>1</v>
      </c>
      <c r="P76">
        <v>0</v>
      </c>
      <c r="Q76">
        <v>0</v>
      </c>
      <c r="R76">
        <v>0</v>
      </c>
    </row>
    <row r="77" spans="1:18">
      <c r="A77">
        <v>76</v>
      </c>
      <c r="B77">
        <v>4</v>
      </c>
      <c r="C77">
        <v>9</v>
      </c>
      <c r="D77">
        <v>4</v>
      </c>
      <c r="E77">
        <v>1</v>
      </c>
      <c r="F77">
        <v>0</v>
      </c>
      <c r="G77" t="s">
        <v>90</v>
      </c>
      <c r="H77">
        <v>0.9</v>
      </c>
      <c r="I77" s="2">
        <v>0.62936999999999999</v>
      </c>
      <c r="J77" s="47">
        <v>2</v>
      </c>
      <c r="K77" t="s">
        <v>33</v>
      </c>
      <c r="L77">
        <v>2</v>
      </c>
      <c r="M77" t="s">
        <v>33</v>
      </c>
      <c r="N77" s="56">
        <v>1</v>
      </c>
      <c r="O77">
        <v>1</v>
      </c>
      <c r="P77">
        <v>0</v>
      </c>
      <c r="Q77">
        <v>0</v>
      </c>
      <c r="R77">
        <v>1</v>
      </c>
    </row>
    <row r="78" spans="1:18">
      <c r="A78">
        <v>77</v>
      </c>
      <c r="B78">
        <v>4</v>
      </c>
      <c r="C78">
        <v>11</v>
      </c>
      <c r="D78">
        <v>4</v>
      </c>
      <c r="E78">
        <v>1</v>
      </c>
      <c r="F78">
        <v>0</v>
      </c>
      <c r="G78" t="s">
        <v>90</v>
      </c>
      <c r="H78">
        <v>1.37</v>
      </c>
      <c r="I78" s="2">
        <v>0.69542999999999999</v>
      </c>
      <c r="J78" s="47">
        <v>4</v>
      </c>
      <c r="K78" t="s">
        <v>33</v>
      </c>
      <c r="L78">
        <v>2</v>
      </c>
      <c r="M78" t="s">
        <v>33</v>
      </c>
      <c r="N78" s="56">
        <v>1</v>
      </c>
      <c r="O78">
        <v>1</v>
      </c>
      <c r="P78">
        <v>0</v>
      </c>
      <c r="Q78">
        <v>0</v>
      </c>
      <c r="R78">
        <v>1</v>
      </c>
    </row>
    <row r="79" spans="1:18">
      <c r="A79">
        <v>78</v>
      </c>
      <c r="B79">
        <v>4</v>
      </c>
      <c r="C79">
        <v>15</v>
      </c>
      <c r="D79">
        <v>4</v>
      </c>
      <c r="E79">
        <v>4</v>
      </c>
      <c r="F79">
        <v>1</v>
      </c>
      <c r="G79" t="s">
        <v>89</v>
      </c>
      <c r="H79">
        <v>0.86</v>
      </c>
      <c r="I79" s="2">
        <v>0.46994999999999998</v>
      </c>
      <c r="J79" s="47">
        <v>2</v>
      </c>
      <c r="K79" t="s">
        <v>10</v>
      </c>
      <c r="L79">
        <v>2</v>
      </c>
      <c r="M79" t="s">
        <v>10</v>
      </c>
      <c r="N79" s="56">
        <v>1</v>
      </c>
      <c r="O79">
        <v>1</v>
      </c>
      <c r="P79">
        <v>1</v>
      </c>
      <c r="Q79">
        <v>0</v>
      </c>
      <c r="R79">
        <v>0</v>
      </c>
    </row>
    <row r="80" spans="1:18">
      <c r="A80">
        <v>79</v>
      </c>
      <c r="B80">
        <v>4</v>
      </c>
      <c r="C80">
        <v>16</v>
      </c>
      <c r="D80">
        <v>4</v>
      </c>
      <c r="E80">
        <v>4</v>
      </c>
      <c r="F80">
        <v>1</v>
      </c>
      <c r="G80" t="s">
        <v>89</v>
      </c>
      <c r="H80">
        <v>1.29</v>
      </c>
      <c r="I80" s="2">
        <v>0.77246000000000004</v>
      </c>
      <c r="J80" s="47">
        <v>4</v>
      </c>
      <c r="K80" t="s">
        <v>15</v>
      </c>
      <c r="L80">
        <v>1</v>
      </c>
      <c r="M80" t="s">
        <v>15</v>
      </c>
      <c r="N80" s="56">
        <v>0</v>
      </c>
      <c r="O80">
        <v>1</v>
      </c>
      <c r="P80">
        <v>0</v>
      </c>
      <c r="Q80">
        <v>0</v>
      </c>
      <c r="R80">
        <v>0</v>
      </c>
    </row>
    <row r="81" spans="1:18">
      <c r="A81">
        <v>80</v>
      </c>
      <c r="B81">
        <v>4</v>
      </c>
      <c r="C81">
        <v>17</v>
      </c>
      <c r="D81">
        <v>1</v>
      </c>
      <c r="E81">
        <v>1</v>
      </c>
      <c r="F81">
        <v>1</v>
      </c>
      <c r="G81" t="s">
        <v>92</v>
      </c>
      <c r="H81">
        <v>1.52</v>
      </c>
      <c r="I81" s="2">
        <v>0.76</v>
      </c>
      <c r="J81" s="47">
        <v>4</v>
      </c>
      <c r="K81" t="s">
        <v>2</v>
      </c>
      <c r="L81">
        <v>3</v>
      </c>
      <c r="M81" t="s">
        <v>15</v>
      </c>
      <c r="N81" s="56">
        <v>0</v>
      </c>
      <c r="O81">
        <v>1</v>
      </c>
      <c r="P81">
        <v>0</v>
      </c>
      <c r="Q81">
        <v>0</v>
      </c>
      <c r="R81">
        <v>0</v>
      </c>
    </row>
    <row r="82" spans="1:18">
      <c r="A82">
        <v>81</v>
      </c>
      <c r="B82">
        <v>4</v>
      </c>
      <c r="C82">
        <v>18</v>
      </c>
      <c r="D82">
        <v>1</v>
      </c>
      <c r="E82">
        <v>4</v>
      </c>
      <c r="F82">
        <v>0</v>
      </c>
      <c r="G82" t="s">
        <v>91</v>
      </c>
      <c r="H82">
        <v>1.04</v>
      </c>
      <c r="I82" s="2">
        <v>0.54737000000000002</v>
      </c>
      <c r="J82" s="47">
        <v>2</v>
      </c>
      <c r="K82" t="s">
        <v>0</v>
      </c>
      <c r="L82">
        <v>2</v>
      </c>
      <c r="M82" t="s">
        <v>15</v>
      </c>
      <c r="N82" s="56">
        <v>0</v>
      </c>
      <c r="O82">
        <v>1</v>
      </c>
      <c r="P82">
        <v>0</v>
      </c>
      <c r="Q82">
        <v>0</v>
      </c>
      <c r="R82">
        <v>0</v>
      </c>
    </row>
    <row r="83" spans="1:18">
      <c r="A83">
        <v>82</v>
      </c>
      <c r="B83">
        <v>4</v>
      </c>
      <c r="C83">
        <v>19</v>
      </c>
      <c r="D83">
        <v>1</v>
      </c>
      <c r="E83">
        <v>1</v>
      </c>
      <c r="F83">
        <v>1</v>
      </c>
      <c r="G83" t="s">
        <v>92</v>
      </c>
      <c r="H83">
        <v>1.05</v>
      </c>
      <c r="I83" s="2">
        <v>0.5615</v>
      </c>
      <c r="J83" s="47">
        <v>5</v>
      </c>
      <c r="K83" t="s">
        <v>7</v>
      </c>
      <c r="L83">
        <v>2</v>
      </c>
      <c r="M83" t="s">
        <v>8</v>
      </c>
      <c r="N83" s="56">
        <v>0</v>
      </c>
      <c r="O83">
        <v>0</v>
      </c>
      <c r="P83">
        <v>1</v>
      </c>
      <c r="Q83">
        <v>0</v>
      </c>
      <c r="R83">
        <v>0</v>
      </c>
    </row>
    <row r="84" spans="1:18">
      <c r="A84">
        <v>83</v>
      </c>
      <c r="B84">
        <v>4</v>
      </c>
      <c r="C84">
        <v>23</v>
      </c>
      <c r="D84">
        <v>4</v>
      </c>
      <c r="E84">
        <v>4</v>
      </c>
      <c r="F84">
        <v>1</v>
      </c>
      <c r="G84" t="s">
        <v>89</v>
      </c>
      <c r="H84">
        <v>1.1000000000000001</v>
      </c>
      <c r="I84" s="2">
        <v>0.64705999999999997</v>
      </c>
      <c r="J84" s="47">
        <v>3</v>
      </c>
      <c r="K84" t="s">
        <v>0</v>
      </c>
      <c r="L84">
        <v>2</v>
      </c>
      <c r="M84" t="s">
        <v>15</v>
      </c>
      <c r="N84" s="56">
        <v>0</v>
      </c>
      <c r="O84">
        <v>1</v>
      </c>
      <c r="P84">
        <v>0</v>
      </c>
      <c r="Q84">
        <v>0</v>
      </c>
      <c r="R84">
        <v>0</v>
      </c>
    </row>
    <row r="85" spans="1:18">
      <c r="A85">
        <v>84</v>
      </c>
      <c r="B85">
        <v>4</v>
      </c>
      <c r="C85">
        <v>24</v>
      </c>
      <c r="D85">
        <v>1</v>
      </c>
      <c r="E85">
        <v>1</v>
      </c>
      <c r="F85">
        <v>1</v>
      </c>
      <c r="G85" t="s">
        <v>92</v>
      </c>
      <c r="H85">
        <v>0.69</v>
      </c>
      <c r="I85" s="2">
        <v>0.35025000000000001</v>
      </c>
      <c r="J85" s="47">
        <v>5</v>
      </c>
      <c r="K85" t="s">
        <v>15</v>
      </c>
      <c r="L85">
        <v>1</v>
      </c>
      <c r="M85" t="s">
        <v>15</v>
      </c>
      <c r="N85" s="56">
        <v>0</v>
      </c>
      <c r="O85">
        <v>1</v>
      </c>
      <c r="P85">
        <v>0</v>
      </c>
      <c r="Q85">
        <v>0</v>
      </c>
      <c r="R85">
        <v>0</v>
      </c>
    </row>
    <row r="86" spans="1:18">
      <c r="A86">
        <v>85</v>
      </c>
      <c r="B86">
        <v>4</v>
      </c>
      <c r="C86">
        <v>26</v>
      </c>
      <c r="D86">
        <v>1</v>
      </c>
      <c r="E86">
        <v>4</v>
      </c>
      <c r="F86">
        <v>0</v>
      </c>
      <c r="G86" t="s">
        <v>91</v>
      </c>
      <c r="H86">
        <v>1.37</v>
      </c>
      <c r="I86" s="2">
        <v>0.70984000000000003</v>
      </c>
      <c r="J86" s="47">
        <v>1</v>
      </c>
      <c r="K86" t="s">
        <v>18</v>
      </c>
      <c r="L86">
        <v>3</v>
      </c>
      <c r="M86" t="s">
        <v>18</v>
      </c>
      <c r="N86" s="56">
        <v>2</v>
      </c>
      <c r="O86">
        <v>1</v>
      </c>
      <c r="P86">
        <v>1</v>
      </c>
      <c r="Q86">
        <v>0</v>
      </c>
      <c r="R86">
        <v>1</v>
      </c>
    </row>
    <row r="87" spans="1:18">
      <c r="A87">
        <v>86</v>
      </c>
      <c r="B87">
        <v>4</v>
      </c>
      <c r="C87">
        <v>27</v>
      </c>
      <c r="D87">
        <v>4</v>
      </c>
      <c r="E87">
        <v>1</v>
      </c>
      <c r="F87">
        <v>0</v>
      </c>
      <c r="G87" t="s">
        <v>90</v>
      </c>
      <c r="H87">
        <v>1.27</v>
      </c>
      <c r="I87" s="2">
        <v>0.88810999999999996</v>
      </c>
      <c r="J87" s="47">
        <v>2</v>
      </c>
      <c r="K87" t="s">
        <v>32</v>
      </c>
      <c r="L87">
        <v>2</v>
      </c>
      <c r="M87" t="s">
        <v>34</v>
      </c>
      <c r="N87" s="56">
        <v>0</v>
      </c>
      <c r="O87">
        <v>0</v>
      </c>
      <c r="P87">
        <v>0</v>
      </c>
      <c r="Q87">
        <v>0</v>
      </c>
      <c r="R87">
        <v>1</v>
      </c>
    </row>
    <row r="88" spans="1:18">
      <c r="A88">
        <v>87</v>
      </c>
      <c r="B88">
        <v>4</v>
      </c>
      <c r="C88">
        <v>28</v>
      </c>
      <c r="D88">
        <v>1</v>
      </c>
      <c r="E88">
        <v>4</v>
      </c>
      <c r="F88">
        <v>0</v>
      </c>
      <c r="G88" t="s">
        <v>91</v>
      </c>
      <c r="H88">
        <v>1.32</v>
      </c>
      <c r="I88" s="2">
        <v>0.70587999999999995</v>
      </c>
      <c r="J88" s="47">
        <v>4</v>
      </c>
      <c r="K88" t="s">
        <v>13</v>
      </c>
      <c r="L88">
        <v>2</v>
      </c>
      <c r="M88" t="s">
        <v>13</v>
      </c>
      <c r="N88" s="56">
        <v>1</v>
      </c>
      <c r="O88">
        <v>1</v>
      </c>
      <c r="P88">
        <v>1</v>
      </c>
      <c r="Q88">
        <v>0</v>
      </c>
      <c r="R88">
        <v>0</v>
      </c>
    </row>
    <row r="89" spans="1:18">
      <c r="A89">
        <v>88</v>
      </c>
      <c r="B89">
        <v>4</v>
      </c>
      <c r="C89">
        <v>29</v>
      </c>
      <c r="D89">
        <v>4</v>
      </c>
      <c r="E89">
        <v>1</v>
      </c>
      <c r="F89">
        <v>0</v>
      </c>
      <c r="G89" t="s">
        <v>90</v>
      </c>
      <c r="H89">
        <v>0.95</v>
      </c>
      <c r="I89" s="2">
        <v>0.56886000000000003</v>
      </c>
      <c r="J89" s="47">
        <v>4</v>
      </c>
      <c r="K89" t="s">
        <v>15</v>
      </c>
      <c r="L89">
        <v>1</v>
      </c>
      <c r="M89" t="s">
        <v>15</v>
      </c>
      <c r="N89" s="56">
        <v>0</v>
      </c>
      <c r="O89">
        <v>1</v>
      </c>
      <c r="P89">
        <v>0</v>
      </c>
      <c r="Q89">
        <v>0</v>
      </c>
      <c r="R89">
        <v>0</v>
      </c>
    </row>
    <row r="90" spans="1:18">
      <c r="A90">
        <v>89</v>
      </c>
      <c r="B90">
        <v>4</v>
      </c>
      <c r="C90">
        <v>30</v>
      </c>
      <c r="D90">
        <v>4</v>
      </c>
      <c r="E90">
        <v>4</v>
      </c>
      <c r="F90">
        <v>1</v>
      </c>
      <c r="G90" t="s">
        <v>89</v>
      </c>
      <c r="H90">
        <v>1.06</v>
      </c>
      <c r="I90" s="2">
        <v>0.62353000000000003</v>
      </c>
      <c r="J90" s="47">
        <v>3</v>
      </c>
      <c r="K90" t="s">
        <v>15</v>
      </c>
      <c r="L90">
        <v>1</v>
      </c>
      <c r="M90" t="s">
        <v>15</v>
      </c>
      <c r="N90" s="56">
        <v>0</v>
      </c>
      <c r="O90">
        <v>1</v>
      </c>
      <c r="P90">
        <v>0</v>
      </c>
      <c r="Q90">
        <v>0</v>
      </c>
      <c r="R90">
        <v>0</v>
      </c>
    </row>
    <row r="91" spans="1:18">
      <c r="A91">
        <v>90</v>
      </c>
      <c r="B91">
        <v>4</v>
      </c>
      <c r="C91">
        <v>34</v>
      </c>
      <c r="D91">
        <v>1</v>
      </c>
      <c r="E91">
        <v>1</v>
      </c>
      <c r="F91">
        <v>1</v>
      </c>
      <c r="G91" t="s">
        <v>92</v>
      </c>
      <c r="H91">
        <v>1.19</v>
      </c>
      <c r="I91" s="2">
        <v>0.57487999999999995</v>
      </c>
      <c r="J91" s="47">
        <v>4</v>
      </c>
      <c r="K91" t="s">
        <v>0</v>
      </c>
      <c r="L91">
        <v>2</v>
      </c>
      <c r="M91" t="s">
        <v>15</v>
      </c>
      <c r="N91" s="56">
        <v>0</v>
      </c>
      <c r="O91">
        <v>1</v>
      </c>
      <c r="P91">
        <v>0</v>
      </c>
      <c r="Q91">
        <v>0</v>
      </c>
      <c r="R91">
        <v>0</v>
      </c>
    </row>
    <row r="92" spans="1:18">
      <c r="A92">
        <v>91</v>
      </c>
      <c r="B92">
        <v>4</v>
      </c>
      <c r="C92">
        <v>35</v>
      </c>
      <c r="D92">
        <v>1</v>
      </c>
      <c r="E92">
        <v>4</v>
      </c>
      <c r="F92">
        <v>0</v>
      </c>
      <c r="G92" t="s">
        <v>91</v>
      </c>
      <c r="H92">
        <v>0.94</v>
      </c>
      <c r="I92" s="2">
        <v>0.50266999999999995</v>
      </c>
      <c r="J92" s="47">
        <v>2</v>
      </c>
      <c r="K92" t="s">
        <v>0</v>
      </c>
      <c r="L92">
        <v>2</v>
      </c>
      <c r="M92" t="s">
        <v>15</v>
      </c>
      <c r="N92" s="56">
        <v>0</v>
      </c>
      <c r="O92">
        <v>1</v>
      </c>
      <c r="P92">
        <v>0</v>
      </c>
      <c r="Q92">
        <v>0</v>
      </c>
      <c r="R92">
        <v>0</v>
      </c>
    </row>
    <row r="93" spans="1:18">
      <c r="A93">
        <v>92</v>
      </c>
      <c r="B93">
        <v>4</v>
      </c>
      <c r="C93">
        <v>36</v>
      </c>
      <c r="D93">
        <v>1</v>
      </c>
      <c r="E93">
        <v>1</v>
      </c>
      <c r="F93">
        <v>1</v>
      </c>
      <c r="G93" t="s">
        <v>92</v>
      </c>
      <c r="H93">
        <v>1.0900000000000001</v>
      </c>
      <c r="I93" s="2">
        <v>0.58289000000000002</v>
      </c>
      <c r="J93" s="47">
        <v>5</v>
      </c>
      <c r="K93" t="s">
        <v>34</v>
      </c>
      <c r="L93">
        <v>1</v>
      </c>
      <c r="M93" t="s">
        <v>34</v>
      </c>
      <c r="N93" s="56">
        <v>0</v>
      </c>
      <c r="O93">
        <v>0</v>
      </c>
      <c r="P93">
        <v>0</v>
      </c>
      <c r="Q93">
        <v>0</v>
      </c>
      <c r="R93">
        <v>1</v>
      </c>
    </row>
    <row r="94" spans="1:18">
      <c r="A94">
        <v>93</v>
      </c>
      <c r="B94">
        <v>4</v>
      </c>
      <c r="C94">
        <v>37</v>
      </c>
      <c r="D94">
        <v>4</v>
      </c>
      <c r="E94">
        <v>4</v>
      </c>
      <c r="F94">
        <v>1</v>
      </c>
      <c r="G94" t="s">
        <v>89</v>
      </c>
      <c r="H94">
        <v>1.29</v>
      </c>
      <c r="I94" s="2">
        <v>0.72880999999999996</v>
      </c>
      <c r="J94" s="47">
        <v>3</v>
      </c>
      <c r="K94" t="s">
        <v>33</v>
      </c>
      <c r="L94">
        <v>2</v>
      </c>
      <c r="M94" t="s">
        <v>33</v>
      </c>
      <c r="N94" s="56">
        <v>1</v>
      </c>
      <c r="O94">
        <v>1</v>
      </c>
      <c r="P94">
        <v>0</v>
      </c>
      <c r="Q94">
        <v>0</v>
      </c>
      <c r="R94">
        <v>1</v>
      </c>
    </row>
    <row r="95" spans="1:18">
      <c r="A95">
        <v>94</v>
      </c>
      <c r="B95">
        <v>4</v>
      </c>
      <c r="C95">
        <v>39</v>
      </c>
      <c r="D95">
        <v>1</v>
      </c>
      <c r="E95">
        <v>1</v>
      </c>
      <c r="F95">
        <v>1</v>
      </c>
      <c r="G95" t="s">
        <v>92</v>
      </c>
      <c r="H95">
        <v>1.08</v>
      </c>
      <c r="I95" s="2">
        <v>0.57754000000000005</v>
      </c>
      <c r="J95" s="47">
        <v>2</v>
      </c>
      <c r="K95" t="s">
        <v>0</v>
      </c>
      <c r="L95">
        <v>2</v>
      </c>
      <c r="M95" t="s">
        <v>15</v>
      </c>
      <c r="N95" s="56">
        <v>0</v>
      </c>
      <c r="O95">
        <v>1</v>
      </c>
      <c r="P95">
        <v>0</v>
      </c>
      <c r="Q95">
        <v>0</v>
      </c>
      <c r="R95">
        <v>0</v>
      </c>
    </row>
    <row r="96" spans="1:18">
      <c r="A96">
        <v>95</v>
      </c>
      <c r="B96">
        <v>4</v>
      </c>
      <c r="C96">
        <v>41</v>
      </c>
      <c r="D96">
        <v>1</v>
      </c>
      <c r="E96">
        <v>1</v>
      </c>
      <c r="F96">
        <v>1</v>
      </c>
      <c r="G96" t="s">
        <v>92</v>
      </c>
      <c r="H96">
        <v>1.49</v>
      </c>
      <c r="I96" s="2">
        <v>0.81420999999999999</v>
      </c>
      <c r="J96" s="47">
        <v>4</v>
      </c>
      <c r="K96" t="s">
        <v>15</v>
      </c>
      <c r="L96">
        <v>1</v>
      </c>
      <c r="M96" t="s">
        <v>15</v>
      </c>
      <c r="N96" s="56">
        <v>0</v>
      </c>
      <c r="O96">
        <v>1</v>
      </c>
      <c r="P96">
        <v>0</v>
      </c>
      <c r="Q96">
        <v>0</v>
      </c>
      <c r="R96">
        <v>0</v>
      </c>
    </row>
    <row r="97" spans="1:18">
      <c r="A97">
        <v>96</v>
      </c>
      <c r="B97">
        <v>4</v>
      </c>
      <c r="C97">
        <v>42</v>
      </c>
      <c r="D97">
        <v>1</v>
      </c>
      <c r="E97">
        <v>1</v>
      </c>
      <c r="F97">
        <v>1</v>
      </c>
      <c r="G97" t="s">
        <v>92</v>
      </c>
      <c r="H97">
        <v>1.18</v>
      </c>
      <c r="I97" s="2">
        <v>0.62104999999999999</v>
      </c>
      <c r="J97" s="47">
        <v>3</v>
      </c>
      <c r="K97" t="s">
        <v>15</v>
      </c>
      <c r="L97">
        <v>1</v>
      </c>
      <c r="M97" t="s">
        <v>15</v>
      </c>
      <c r="N97" s="56">
        <v>0</v>
      </c>
      <c r="O97">
        <v>1</v>
      </c>
      <c r="P97">
        <v>0</v>
      </c>
      <c r="Q97">
        <v>0</v>
      </c>
      <c r="R97">
        <v>0</v>
      </c>
    </row>
    <row r="98" spans="1:18">
      <c r="A98">
        <v>97</v>
      </c>
      <c r="B98">
        <v>5</v>
      </c>
      <c r="C98">
        <v>1</v>
      </c>
      <c r="D98">
        <v>4</v>
      </c>
      <c r="E98">
        <v>4</v>
      </c>
      <c r="F98">
        <v>1</v>
      </c>
      <c r="G98" t="s">
        <v>89</v>
      </c>
      <c r="H98">
        <v>1.44</v>
      </c>
      <c r="I98" s="2">
        <v>0.96</v>
      </c>
      <c r="J98" s="47">
        <v>4</v>
      </c>
      <c r="K98" t="s">
        <v>35</v>
      </c>
      <c r="L98">
        <v>4</v>
      </c>
      <c r="M98" t="s">
        <v>36</v>
      </c>
      <c r="N98" s="56">
        <v>2</v>
      </c>
      <c r="O98">
        <v>1</v>
      </c>
      <c r="P98">
        <v>1</v>
      </c>
      <c r="Q98">
        <v>1</v>
      </c>
      <c r="R98">
        <v>0</v>
      </c>
    </row>
    <row r="99" spans="1:18">
      <c r="A99">
        <v>98</v>
      </c>
      <c r="B99">
        <v>5</v>
      </c>
      <c r="C99">
        <v>4</v>
      </c>
      <c r="D99">
        <v>4</v>
      </c>
      <c r="E99">
        <v>1</v>
      </c>
      <c r="F99">
        <v>0</v>
      </c>
      <c r="G99" t="s">
        <v>90</v>
      </c>
      <c r="H99">
        <v>1.45</v>
      </c>
      <c r="I99" s="2">
        <v>0.88956999999999997</v>
      </c>
      <c r="J99" s="47">
        <v>1</v>
      </c>
      <c r="K99" t="s">
        <v>36</v>
      </c>
      <c r="L99">
        <v>3</v>
      </c>
      <c r="M99" t="s">
        <v>36</v>
      </c>
      <c r="N99" s="56">
        <v>2</v>
      </c>
      <c r="O99">
        <v>1</v>
      </c>
      <c r="P99">
        <v>1</v>
      </c>
      <c r="Q99">
        <v>1</v>
      </c>
      <c r="R99">
        <v>0</v>
      </c>
    </row>
    <row r="100" spans="1:18">
      <c r="A100">
        <v>99</v>
      </c>
      <c r="B100">
        <v>5</v>
      </c>
      <c r="C100">
        <v>7</v>
      </c>
      <c r="D100">
        <v>4</v>
      </c>
      <c r="E100">
        <v>4</v>
      </c>
      <c r="F100">
        <v>1</v>
      </c>
      <c r="G100" t="s">
        <v>89</v>
      </c>
      <c r="H100">
        <v>1.77</v>
      </c>
      <c r="I100" s="2">
        <v>1.1273899999999999</v>
      </c>
      <c r="J100" s="47">
        <v>3</v>
      </c>
      <c r="K100" t="s">
        <v>29</v>
      </c>
      <c r="L100">
        <v>5</v>
      </c>
      <c r="M100" t="s">
        <v>13</v>
      </c>
      <c r="N100" s="56">
        <v>1</v>
      </c>
      <c r="O100">
        <v>1</v>
      </c>
      <c r="P100">
        <v>1</v>
      </c>
      <c r="Q100">
        <v>0</v>
      </c>
      <c r="R100">
        <v>0</v>
      </c>
    </row>
    <row r="101" spans="1:18">
      <c r="A101">
        <v>100</v>
      </c>
      <c r="B101">
        <v>5</v>
      </c>
      <c r="C101">
        <v>9</v>
      </c>
      <c r="D101">
        <v>4</v>
      </c>
      <c r="E101">
        <v>4</v>
      </c>
      <c r="F101">
        <v>1</v>
      </c>
      <c r="G101" t="s">
        <v>89</v>
      </c>
      <c r="H101">
        <v>1.66</v>
      </c>
      <c r="I101" s="2">
        <v>1.1608400000000001</v>
      </c>
      <c r="J101" s="47">
        <v>4</v>
      </c>
      <c r="K101" t="s">
        <v>29</v>
      </c>
      <c r="L101">
        <v>5</v>
      </c>
      <c r="M101" t="s">
        <v>13</v>
      </c>
      <c r="N101" s="56">
        <v>1</v>
      </c>
      <c r="O101">
        <v>1</v>
      </c>
      <c r="P101">
        <v>1</v>
      </c>
      <c r="Q101">
        <v>0</v>
      </c>
      <c r="R101">
        <v>0</v>
      </c>
    </row>
    <row r="102" spans="1:18">
      <c r="A102">
        <v>101</v>
      </c>
      <c r="B102">
        <v>5</v>
      </c>
      <c r="C102">
        <v>11</v>
      </c>
      <c r="D102">
        <v>4</v>
      </c>
      <c r="E102">
        <v>4</v>
      </c>
      <c r="F102">
        <v>1</v>
      </c>
      <c r="G102" t="s">
        <v>89</v>
      </c>
      <c r="H102">
        <v>2.0099999999999998</v>
      </c>
      <c r="I102" s="2">
        <v>1.0203</v>
      </c>
      <c r="J102" s="47">
        <v>3</v>
      </c>
      <c r="K102" t="s">
        <v>5</v>
      </c>
      <c r="L102">
        <v>3</v>
      </c>
      <c r="M102" t="s">
        <v>13</v>
      </c>
      <c r="N102" s="56">
        <v>1</v>
      </c>
      <c r="O102">
        <v>1</v>
      </c>
      <c r="P102">
        <v>1</v>
      </c>
      <c r="Q102">
        <v>0</v>
      </c>
      <c r="R102">
        <v>0</v>
      </c>
    </row>
    <row r="103" spans="1:18">
      <c r="A103">
        <v>102</v>
      </c>
      <c r="B103">
        <v>5</v>
      </c>
      <c r="C103">
        <v>15</v>
      </c>
      <c r="D103">
        <v>4</v>
      </c>
      <c r="E103">
        <v>4</v>
      </c>
      <c r="F103">
        <v>1</v>
      </c>
      <c r="G103" t="s">
        <v>89</v>
      </c>
      <c r="H103">
        <v>1.77</v>
      </c>
      <c r="I103" s="2">
        <v>0.96721000000000001</v>
      </c>
      <c r="J103" s="47">
        <v>4</v>
      </c>
      <c r="K103" t="s">
        <v>0</v>
      </c>
      <c r="L103">
        <v>2</v>
      </c>
      <c r="M103" t="s">
        <v>15</v>
      </c>
      <c r="N103" s="56">
        <v>0</v>
      </c>
      <c r="O103">
        <v>1</v>
      </c>
      <c r="P103">
        <v>0</v>
      </c>
      <c r="Q103">
        <v>0</v>
      </c>
      <c r="R103">
        <v>0</v>
      </c>
    </row>
    <row r="104" spans="1:18">
      <c r="A104">
        <v>103</v>
      </c>
      <c r="B104">
        <v>5</v>
      </c>
      <c r="C104">
        <v>16</v>
      </c>
      <c r="D104">
        <v>4</v>
      </c>
      <c r="E104">
        <v>4</v>
      </c>
      <c r="F104">
        <v>1</v>
      </c>
      <c r="G104" t="s">
        <v>89</v>
      </c>
      <c r="H104">
        <v>1.53</v>
      </c>
      <c r="I104" s="2">
        <v>0.91617000000000004</v>
      </c>
      <c r="J104" s="47">
        <v>5</v>
      </c>
      <c r="K104" t="s">
        <v>5</v>
      </c>
      <c r="L104">
        <v>3</v>
      </c>
      <c r="M104" t="s">
        <v>13</v>
      </c>
      <c r="N104" s="56">
        <v>1</v>
      </c>
      <c r="O104">
        <v>1</v>
      </c>
      <c r="P104">
        <v>1</v>
      </c>
      <c r="Q104">
        <v>0</v>
      </c>
      <c r="R104">
        <v>0</v>
      </c>
    </row>
    <row r="105" spans="1:18">
      <c r="A105">
        <v>104</v>
      </c>
      <c r="B105">
        <v>5</v>
      </c>
      <c r="C105">
        <v>17</v>
      </c>
      <c r="D105">
        <v>1</v>
      </c>
      <c r="E105">
        <v>4</v>
      </c>
      <c r="F105">
        <v>0</v>
      </c>
      <c r="G105" t="s">
        <v>91</v>
      </c>
      <c r="H105">
        <v>1.98</v>
      </c>
      <c r="I105" s="2">
        <v>0.99</v>
      </c>
      <c r="J105" s="47">
        <v>2</v>
      </c>
      <c r="K105" t="s">
        <v>5</v>
      </c>
      <c r="L105">
        <v>3</v>
      </c>
      <c r="M105" t="s">
        <v>13</v>
      </c>
      <c r="N105" s="56">
        <v>1</v>
      </c>
      <c r="O105">
        <v>1</v>
      </c>
      <c r="P105">
        <v>1</v>
      </c>
      <c r="Q105">
        <v>0</v>
      </c>
      <c r="R105">
        <v>0</v>
      </c>
    </row>
    <row r="106" spans="1:18">
      <c r="A106">
        <v>105</v>
      </c>
      <c r="B106">
        <v>5</v>
      </c>
      <c r="C106">
        <v>18</v>
      </c>
      <c r="D106">
        <v>1</v>
      </c>
      <c r="E106">
        <v>4</v>
      </c>
      <c r="F106">
        <v>0</v>
      </c>
      <c r="G106" t="s">
        <v>91</v>
      </c>
      <c r="H106">
        <v>1.79</v>
      </c>
      <c r="I106" s="2">
        <v>0.94211</v>
      </c>
      <c r="J106" s="47">
        <v>3</v>
      </c>
      <c r="K106" t="s">
        <v>37</v>
      </c>
      <c r="L106">
        <v>4</v>
      </c>
      <c r="M106" t="s">
        <v>68</v>
      </c>
      <c r="N106" s="56">
        <v>2</v>
      </c>
      <c r="O106">
        <v>1</v>
      </c>
      <c r="P106">
        <v>1</v>
      </c>
      <c r="Q106">
        <v>0</v>
      </c>
      <c r="R106">
        <v>0</v>
      </c>
    </row>
    <row r="107" spans="1:18">
      <c r="A107">
        <v>106</v>
      </c>
      <c r="B107">
        <v>5</v>
      </c>
      <c r="C107">
        <v>19</v>
      </c>
      <c r="D107">
        <v>1</v>
      </c>
      <c r="E107">
        <v>1</v>
      </c>
      <c r="F107">
        <v>1</v>
      </c>
      <c r="G107" t="s">
        <v>92</v>
      </c>
      <c r="H107">
        <v>1.44</v>
      </c>
      <c r="I107" s="2">
        <v>0.77005000000000001</v>
      </c>
      <c r="J107" s="47">
        <v>5</v>
      </c>
      <c r="K107" t="s">
        <v>38</v>
      </c>
      <c r="L107">
        <v>2</v>
      </c>
      <c r="M107" t="s">
        <v>38</v>
      </c>
      <c r="N107" s="56">
        <v>1</v>
      </c>
      <c r="O107">
        <v>1</v>
      </c>
      <c r="P107">
        <v>0</v>
      </c>
      <c r="Q107">
        <v>1</v>
      </c>
      <c r="R107">
        <v>0</v>
      </c>
    </row>
    <row r="108" spans="1:18">
      <c r="A108">
        <v>107</v>
      </c>
      <c r="B108">
        <v>5</v>
      </c>
      <c r="C108">
        <v>23</v>
      </c>
      <c r="D108">
        <v>4</v>
      </c>
      <c r="E108">
        <v>4</v>
      </c>
      <c r="F108">
        <v>1</v>
      </c>
      <c r="G108" t="s">
        <v>89</v>
      </c>
      <c r="H108">
        <v>1.6</v>
      </c>
      <c r="I108" s="2">
        <v>0.94118000000000002</v>
      </c>
      <c r="J108" s="47">
        <v>4</v>
      </c>
      <c r="K108" t="s">
        <v>5</v>
      </c>
      <c r="L108">
        <v>3</v>
      </c>
      <c r="M108" t="s">
        <v>13</v>
      </c>
      <c r="N108" s="56">
        <v>1</v>
      </c>
      <c r="O108">
        <v>1</v>
      </c>
      <c r="P108">
        <v>1</v>
      </c>
      <c r="Q108">
        <v>0</v>
      </c>
      <c r="R108">
        <v>0</v>
      </c>
    </row>
    <row r="109" spans="1:18">
      <c r="A109">
        <v>108</v>
      </c>
      <c r="B109">
        <v>5</v>
      </c>
      <c r="C109">
        <v>24</v>
      </c>
      <c r="D109">
        <v>1</v>
      </c>
      <c r="E109">
        <v>1</v>
      </c>
      <c r="F109">
        <v>1</v>
      </c>
      <c r="G109" t="s">
        <v>92</v>
      </c>
      <c r="H109">
        <v>1.85</v>
      </c>
      <c r="I109" s="2">
        <v>0.93908999999999998</v>
      </c>
      <c r="J109" s="47">
        <v>4</v>
      </c>
      <c r="K109" t="s">
        <v>39</v>
      </c>
      <c r="L109">
        <v>4</v>
      </c>
      <c r="M109" t="s">
        <v>13</v>
      </c>
      <c r="N109" s="56">
        <v>1</v>
      </c>
      <c r="O109">
        <v>1</v>
      </c>
      <c r="P109">
        <v>1</v>
      </c>
      <c r="Q109">
        <v>0</v>
      </c>
      <c r="R109">
        <v>0</v>
      </c>
    </row>
    <row r="110" spans="1:18">
      <c r="A110">
        <v>109</v>
      </c>
      <c r="B110">
        <v>5</v>
      </c>
      <c r="C110">
        <v>26</v>
      </c>
      <c r="D110">
        <v>1</v>
      </c>
      <c r="E110">
        <v>1</v>
      </c>
      <c r="F110">
        <v>1</v>
      </c>
      <c r="G110" t="s">
        <v>92</v>
      </c>
      <c r="H110">
        <v>1.83</v>
      </c>
      <c r="I110" s="2">
        <v>0.94818999999999998</v>
      </c>
      <c r="J110" s="47">
        <v>4</v>
      </c>
      <c r="K110" t="s">
        <v>5</v>
      </c>
      <c r="L110">
        <v>3</v>
      </c>
      <c r="M110" t="s">
        <v>13</v>
      </c>
      <c r="N110" s="56">
        <v>1</v>
      </c>
      <c r="O110">
        <v>1</v>
      </c>
      <c r="P110">
        <v>1</v>
      </c>
      <c r="Q110">
        <v>0</v>
      </c>
      <c r="R110">
        <v>0</v>
      </c>
    </row>
    <row r="111" spans="1:18">
      <c r="A111">
        <v>110</v>
      </c>
      <c r="B111">
        <v>5</v>
      </c>
      <c r="C111">
        <v>27</v>
      </c>
      <c r="D111">
        <v>4</v>
      </c>
      <c r="E111">
        <v>4</v>
      </c>
      <c r="F111">
        <v>1</v>
      </c>
      <c r="G111" t="s">
        <v>89</v>
      </c>
      <c r="H111">
        <v>1.65</v>
      </c>
      <c r="I111" s="2">
        <v>1.15385</v>
      </c>
      <c r="J111" s="47">
        <v>3</v>
      </c>
      <c r="K111" t="s">
        <v>40</v>
      </c>
      <c r="L111">
        <v>5</v>
      </c>
      <c r="M111" t="s">
        <v>36</v>
      </c>
      <c r="N111" s="56">
        <v>1</v>
      </c>
      <c r="O111">
        <v>1</v>
      </c>
      <c r="P111">
        <v>1</v>
      </c>
      <c r="Q111">
        <v>1</v>
      </c>
      <c r="R111">
        <v>0</v>
      </c>
    </row>
    <row r="112" spans="1:18">
      <c r="A112">
        <v>111</v>
      </c>
      <c r="B112">
        <v>5</v>
      </c>
      <c r="C112">
        <v>28</v>
      </c>
      <c r="D112">
        <v>1</v>
      </c>
      <c r="E112">
        <v>4</v>
      </c>
      <c r="F112">
        <v>0</v>
      </c>
      <c r="G112" t="s">
        <v>91</v>
      </c>
      <c r="H112">
        <v>1.91</v>
      </c>
      <c r="I112" s="2">
        <v>1.02139</v>
      </c>
      <c r="J112" s="47">
        <v>3</v>
      </c>
      <c r="K112" t="s">
        <v>24</v>
      </c>
      <c r="L112">
        <v>3</v>
      </c>
      <c r="M112" t="s">
        <v>31</v>
      </c>
      <c r="N112" s="56">
        <v>1</v>
      </c>
      <c r="O112">
        <v>1</v>
      </c>
      <c r="P112">
        <v>0</v>
      </c>
      <c r="Q112">
        <v>0</v>
      </c>
      <c r="R112">
        <v>1</v>
      </c>
    </row>
    <row r="113" spans="1:18">
      <c r="A113">
        <v>112</v>
      </c>
      <c r="B113">
        <v>5</v>
      </c>
      <c r="C113">
        <v>29</v>
      </c>
      <c r="D113">
        <v>4</v>
      </c>
      <c r="E113">
        <v>1</v>
      </c>
      <c r="F113">
        <v>0</v>
      </c>
      <c r="G113" t="s">
        <v>90</v>
      </c>
      <c r="H113">
        <v>1.1399999999999999</v>
      </c>
      <c r="I113" s="2">
        <v>0.68262999999999996</v>
      </c>
      <c r="J113" s="47">
        <v>2</v>
      </c>
      <c r="K113" t="s">
        <v>15</v>
      </c>
      <c r="L113">
        <v>1</v>
      </c>
      <c r="M113" t="s">
        <v>15</v>
      </c>
      <c r="N113" s="56">
        <v>0</v>
      </c>
      <c r="O113">
        <v>1</v>
      </c>
      <c r="P113">
        <v>0</v>
      </c>
      <c r="Q113">
        <v>0</v>
      </c>
      <c r="R113">
        <v>0</v>
      </c>
    </row>
    <row r="114" spans="1:18">
      <c r="A114">
        <v>113</v>
      </c>
      <c r="B114">
        <v>5</v>
      </c>
      <c r="C114">
        <v>30</v>
      </c>
      <c r="D114">
        <v>4</v>
      </c>
      <c r="E114">
        <v>4</v>
      </c>
      <c r="F114">
        <v>1</v>
      </c>
      <c r="G114" t="s">
        <v>89</v>
      </c>
      <c r="H114">
        <v>1.62</v>
      </c>
      <c r="I114" s="2">
        <v>0.95294000000000001</v>
      </c>
      <c r="J114" s="47">
        <v>4</v>
      </c>
      <c r="K114" t="s">
        <v>41</v>
      </c>
      <c r="L114">
        <v>3</v>
      </c>
      <c r="M114" t="s">
        <v>41</v>
      </c>
      <c r="N114" s="56">
        <v>1</v>
      </c>
      <c r="O114">
        <v>1</v>
      </c>
      <c r="P114">
        <v>1</v>
      </c>
      <c r="Q114">
        <v>1</v>
      </c>
      <c r="R114">
        <v>0</v>
      </c>
    </row>
    <row r="115" spans="1:18">
      <c r="A115">
        <v>114</v>
      </c>
      <c r="B115">
        <v>5</v>
      </c>
      <c r="C115">
        <v>34</v>
      </c>
      <c r="D115">
        <v>1</v>
      </c>
      <c r="E115">
        <v>1</v>
      </c>
      <c r="F115">
        <v>1</v>
      </c>
      <c r="G115" t="s">
        <v>92</v>
      </c>
      <c r="H115">
        <v>2.12</v>
      </c>
      <c r="I115" s="2">
        <v>1.0241499999999999</v>
      </c>
      <c r="J115" s="47">
        <v>3</v>
      </c>
      <c r="K115" t="s">
        <v>5</v>
      </c>
      <c r="L115">
        <v>3</v>
      </c>
      <c r="M115" t="s">
        <v>13</v>
      </c>
      <c r="N115" s="56">
        <v>1</v>
      </c>
      <c r="O115">
        <v>1</v>
      </c>
      <c r="P115">
        <v>1</v>
      </c>
      <c r="Q115">
        <v>0</v>
      </c>
      <c r="R115">
        <v>0</v>
      </c>
    </row>
    <row r="116" spans="1:18">
      <c r="A116">
        <v>115</v>
      </c>
      <c r="B116">
        <v>5</v>
      </c>
      <c r="C116">
        <v>35</v>
      </c>
      <c r="D116">
        <v>1</v>
      </c>
      <c r="E116">
        <v>1</v>
      </c>
      <c r="F116">
        <v>1</v>
      </c>
      <c r="G116" t="s">
        <v>92</v>
      </c>
      <c r="H116">
        <v>1.98</v>
      </c>
      <c r="I116" s="2">
        <v>1.0588200000000001</v>
      </c>
      <c r="J116" s="47">
        <v>2</v>
      </c>
      <c r="K116" t="s">
        <v>26</v>
      </c>
      <c r="L116">
        <v>3</v>
      </c>
      <c r="M116" t="s">
        <v>38</v>
      </c>
      <c r="N116" s="56">
        <v>1</v>
      </c>
      <c r="O116">
        <v>1</v>
      </c>
      <c r="P116">
        <v>0</v>
      </c>
      <c r="Q116">
        <v>1</v>
      </c>
      <c r="R116">
        <v>0</v>
      </c>
    </row>
    <row r="117" spans="1:18">
      <c r="A117">
        <v>116</v>
      </c>
      <c r="B117">
        <v>5</v>
      </c>
      <c r="C117">
        <v>36</v>
      </c>
      <c r="D117">
        <v>1</v>
      </c>
      <c r="E117">
        <v>1</v>
      </c>
      <c r="F117">
        <v>1</v>
      </c>
      <c r="G117" t="s">
        <v>92</v>
      </c>
      <c r="H117">
        <v>1.4</v>
      </c>
      <c r="I117" s="2">
        <v>0.74865999999999999</v>
      </c>
      <c r="J117" s="47">
        <v>4</v>
      </c>
      <c r="K117" t="s">
        <v>2</v>
      </c>
      <c r="L117">
        <v>3</v>
      </c>
      <c r="M117" t="s">
        <v>15</v>
      </c>
      <c r="N117" s="56">
        <v>0</v>
      </c>
      <c r="O117">
        <v>1</v>
      </c>
      <c r="P117">
        <v>0</v>
      </c>
      <c r="Q117">
        <v>0</v>
      </c>
      <c r="R117">
        <v>0</v>
      </c>
    </row>
    <row r="118" spans="1:18">
      <c r="A118">
        <v>117</v>
      </c>
      <c r="B118">
        <v>5</v>
      </c>
      <c r="C118">
        <v>37</v>
      </c>
      <c r="D118">
        <v>4</v>
      </c>
      <c r="E118">
        <v>4</v>
      </c>
      <c r="F118">
        <v>1</v>
      </c>
      <c r="G118" t="s">
        <v>89</v>
      </c>
      <c r="H118">
        <v>1.71</v>
      </c>
      <c r="I118" s="2">
        <v>0.96609999999999996</v>
      </c>
      <c r="J118" s="47">
        <v>3</v>
      </c>
      <c r="K118" t="s">
        <v>0</v>
      </c>
      <c r="L118">
        <v>2</v>
      </c>
      <c r="M118" t="s">
        <v>15</v>
      </c>
      <c r="N118" s="56">
        <v>0</v>
      </c>
      <c r="O118">
        <v>1</v>
      </c>
      <c r="P118">
        <v>0</v>
      </c>
      <c r="Q118">
        <v>0</v>
      </c>
      <c r="R118">
        <v>0</v>
      </c>
    </row>
    <row r="119" spans="1:18">
      <c r="A119">
        <v>118</v>
      </c>
      <c r="B119">
        <v>5</v>
      </c>
      <c r="C119">
        <v>39</v>
      </c>
      <c r="D119">
        <v>1</v>
      </c>
      <c r="E119">
        <v>4</v>
      </c>
      <c r="F119">
        <v>0</v>
      </c>
      <c r="G119" t="s">
        <v>91</v>
      </c>
      <c r="H119">
        <v>1.83</v>
      </c>
      <c r="I119" s="2">
        <v>0.97860999999999998</v>
      </c>
      <c r="J119" s="47">
        <v>2</v>
      </c>
      <c r="K119" t="s">
        <v>24</v>
      </c>
      <c r="L119">
        <v>3</v>
      </c>
      <c r="M119" t="s">
        <v>31</v>
      </c>
      <c r="N119" s="56">
        <v>1</v>
      </c>
      <c r="O119">
        <v>1</v>
      </c>
      <c r="P119">
        <v>0</v>
      </c>
      <c r="Q119">
        <v>0</v>
      </c>
      <c r="R119">
        <v>1</v>
      </c>
    </row>
    <row r="120" spans="1:18">
      <c r="A120">
        <v>119</v>
      </c>
      <c r="B120">
        <v>5</v>
      </c>
      <c r="C120">
        <v>41</v>
      </c>
      <c r="D120">
        <v>1</v>
      </c>
      <c r="E120">
        <v>1</v>
      </c>
      <c r="F120">
        <v>1</v>
      </c>
      <c r="G120" t="s">
        <v>92</v>
      </c>
      <c r="H120">
        <v>1.85</v>
      </c>
      <c r="I120" s="2">
        <v>1.0109300000000001</v>
      </c>
      <c r="J120" s="47">
        <v>2</v>
      </c>
      <c r="K120" t="s">
        <v>0</v>
      </c>
      <c r="L120">
        <v>2</v>
      </c>
      <c r="M120" t="s">
        <v>15</v>
      </c>
      <c r="N120" s="56">
        <v>0</v>
      </c>
      <c r="O120">
        <v>1</v>
      </c>
      <c r="P120">
        <v>0</v>
      </c>
      <c r="Q120">
        <v>0</v>
      </c>
      <c r="R120">
        <v>0</v>
      </c>
    </row>
    <row r="121" spans="1:18">
      <c r="A121">
        <v>120</v>
      </c>
      <c r="B121">
        <v>5</v>
      </c>
      <c r="C121">
        <v>42</v>
      </c>
      <c r="D121">
        <v>1</v>
      </c>
      <c r="E121">
        <v>4</v>
      </c>
      <c r="F121">
        <v>0</v>
      </c>
      <c r="G121" t="s">
        <v>91</v>
      </c>
      <c r="H121">
        <v>1.92</v>
      </c>
      <c r="I121" s="2">
        <v>1.0105299999999999</v>
      </c>
      <c r="J121" s="47">
        <v>2</v>
      </c>
      <c r="K121" t="s">
        <v>5</v>
      </c>
      <c r="L121">
        <v>3</v>
      </c>
      <c r="M121" t="s">
        <v>13</v>
      </c>
      <c r="N121" s="56">
        <v>1</v>
      </c>
      <c r="O121">
        <v>1</v>
      </c>
      <c r="P121">
        <v>1</v>
      </c>
      <c r="Q121">
        <v>0</v>
      </c>
      <c r="R121">
        <v>0</v>
      </c>
    </row>
    <row r="122" spans="1:18">
      <c r="A122">
        <v>121</v>
      </c>
      <c r="B122">
        <v>6</v>
      </c>
      <c r="C122">
        <v>1</v>
      </c>
      <c r="D122">
        <v>4</v>
      </c>
      <c r="E122">
        <v>1</v>
      </c>
      <c r="F122">
        <v>0</v>
      </c>
      <c r="G122" t="s">
        <v>90</v>
      </c>
      <c r="H122">
        <v>1.34</v>
      </c>
      <c r="I122" s="2">
        <v>0.89332999999999996</v>
      </c>
      <c r="J122" s="47">
        <v>1</v>
      </c>
      <c r="K122" t="s">
        <v>15</v>
      </c>
      <c r="L122">
        <v>1</v>
      </c>
      <c r="M122" t="s">
        <v>15</v>
      </c>
      <c r="N122" s="56">
        <v>0</v>
      </c>
      <c r="O122">
        <v>1</v>
      </c>
      <c r="P122">
        <v>0</v>
      </c>
      <c r="Q122">
        <v>0</v>
      </c>
      <c r="R122">
        <v>0</v>
      </c>
    </row>
    <row r="123" spans="1:18">
      <c r="A123">
        <v>122</v>
      </c>
      <c r="B123">
        <v>6</v>
      </c>
      <c r="C123">
        <v>4</v>
      </c>
      <c r="D123">
        <v>4</v>
      </c>
      <c r="E123">
        <v>4</v>
      </c>
      <c r="F123">
        <v>1</v>
      </c>
      <c r="G123" t="s">
        <v>89</v>
      </c>
      <c r="H123">
        <v>1.54</v>
      </c>
      <c r="I123" s="2">
        <v>0.94479000000000002</v>
      </c>
      <c r="J123" s="47">
        <v>4</v>
      </c>
      <c r="K123" t="s">
        <v>5</v>
      </c>
      <c r="L123">
        <v>3</v>
      </c>
      <c r="M123" t="s">
        <v>13</v>
      </c>
      <c r="N123" s="56">
        <v>1</v>
      </c>
      <c r="O123">
        <v>1</v>
      </c>
      <c r="P123">
        <v>1</v>
      </c>
      <c r="Q123">
        <v>0</v>
      </c>
      <c r="R123">
        <v>0</v>
      </c>
    </row>
    <row r="124" spans="1:18">
      <c r="A124">
        <v>123</v>
      </c>
      <c r="B124">
        <v>6</v>
      </c>
      <c r="C124">
        <v>7</v>
      </c>
      <c r="D124">
        <v>4</v>
      </c>
      <c r="E124">
        <v>4</v>
      </c>
      <c r="F124">
        <v>1</v>
      </c>
      <c r="G124" t="s">
        <v>89</v>
      </c>
      <c r="H124">
        <v>1.51</v>
      </c>
      <c r="I124" s="2">
        <v>0.96177999999999997</v>
      </c>
      <c r="J124" s="47">
        <v>5</v>
      </c>
      <c r="K124" t="s">
        <v>29</v>
      </c>
      <c r="L124">
        <v>5</v>
      </c>
      <c r="M124" t="s">
        <v>13</v>
      </c>
      <c r="N124" s="56">
        <v>1</v>
      </c>
      <c r="O124">
        <v>1</v>
      </c>
      <c r="P124">
        <v>1</v>
      </c>
      <c r="Q124">
        <v>0</v>
      </c>
      <c r="R124">
        <v>0</v>
      </c>
    </row>
    <row r="125" spans="1:18">
      <c r="A125">
        <v>124</v>
      </c>
      <c r="B125">
        <v>6</v>
      </c>
      <c r="C125">
        <v>9</v>
      </c>
      <c r="D125">
        <v>4</v>
      </c>
      <c r="E125">
        <v>1</v>
      </c>
      <c r="F125">
        <v>0</v>
      </c>
      <c r="G125" t="s">
        <v>90</v>
      </c>
      <c r="H125">
        <v>1.02</v>
      </c>
      <c r="I125" s="2">
        <v>0.71328999999999998</v>
      </c>
      <c r="J125" s="47">
        <v>4</v>
      </c>
      <c r="K125" t="s">
        <v>0</v>
      </c>
      <c r="L125">
        <v>2</v>
      </c>
      <c r="M125" t="s">
        <v>15</v>
      </c>
      <c r="N125" s="56">
        <v>0</v>
      </c>
      <c r="O125">
        <v>1</v>
      </c>
      <c r="P125">
        <v>0</v>
      </c>
      <c r="Q125">
        <v>0</v>
      </c>
      <c r="R125">
        <v>0</v>
      </c>
    </row>
    <row r="126" spans="1:18">
      <c r="A126">
        <v>125</v>
      </c>
      <c r="B126">
        <v>6</v>
      </c>
      <c r="C126">
        <v>11</v>
      </c>
      <c r="D126">
        <v>4</v>
      </c>
      <c r="E126">
        <v>4</v>
      </c>
      <c r="F126">
        <v>1</v>
      </c>
      <c r="G126" t="s">
        <v>89</v>
      </c>
      <c r="H126">
        <v>1.68</v>
      </c>
      <c r="I126" s="2">
        <v>0.85279000000000005</v>
      </c>
      <c r="J126" s="47">
        <v>4</v>
      </c>
      <c r="K126" t="s">
        <v>13</v>
      </c>
      <c r="L126">
        <v>2</v>
      </c>
      <c r="M126" t="s">
        <v>13</v>
      </c>
      <c r="N126" s="56">
        <v>1</v>
      </c>
      <c r="O126">
        <v>1</v>
      </c>
      <c r="P126">
        <v>1</v>
      </c>
      <c r="Q126">
        <v>0</v>
      </c>
      <c r="R126">
        <v>0</v>
      </c>
    </row>
    <row r="127" spans="1:18">
      <c r="A127">
        <v>126</v>
      </c>
      <c r="B127">
        <v>6</v>
      </c>
      <c r="C127">
        <v>15</v>
      </c>
      <c r="D127">
        <v>4</v>
      </c>
      <c r="E127">
        <v>4</v>
      </c>
      <c r="F127">
        <v>1</v>
      </c>
      <c r="G127" t="s">
        <v>89</v>
      </c>
      <c r="H127">
        <v>1.53</v>
      </c>
      <c r="I127" s="2">
        <v>0.83606999999999998</v>
      </c>
      <c r="J127" s="47">
        <v>5</v>
      </c>
      <c r="K127" t="s">
        <v>15</v>
      </c>
      <c r="L127">
        <v>1</v>
      </c>
      <c r="M127" t="s">
        <v>15</v>
      </c>
      <c r="N127" s="56">
        <v>0</v>
      </c>
      <c r="O127">
        <v>1</v>
      </c>
      <c r="P127">
        <v>0</v>
      </c>
      <c r="Q127">
        <v>0</v>
      </c>
      <c r="R127">
        <v>0</v>
      </c>
    </row>
    <row r="128" spans="1:18">
      <c r="A128">
        <v>127</v>
      </c>
      <c r="B128">
        <v>6</v>
      </c>
      <c r="C128">
        <v>16</v>
      </c>
      <c r="D128">
        <v>4</v>
      </c>
      <c r="E128">
        <v>1</v>
      </c>
      <c r="F128">
        <v>0</v>
      </c>
      <c r="G128" t="s">
        <v>90</v>
      </c>
      <c r="H128">
        <v>1.38</v>
      </c>
      <c r="I128" s="2">
        <v>0.82635000000000003</v>
      </c>
      <c r="J128" s="47">
        <v>2</v>
      </c>
      <c r="K128" t="s">
        <v>13</v>
      </c>
      <c r="L128">
        <v>2</v>
      </c>
      <c r="M128" t="s">
        <v>13</v>
      </c>
      <c r="N128" s="56">
        <v>1</v>
      </c>
      <c r="O128">
        <v>1</v>
      </c>
      <c r="P128">
        <v>1</v>
      </c>
      <c r="Q128">
        <v>0</v>
      </c>
      <c r="R128">
        <v>0</v>
      </c>
    </row>
    <row r="129" spans="1:18">
      <c r="A129">
        <v>128</v>
      </c>
      <c r="B129">
        <v>6</v>
      </c>
      <c r="C129">
        <v>17</v>
      </c>
      <c r="D129">
        <v>1</v>
      </c>
      <c r="E129">
        <v>1</v>
      </c>
      <c r="F129">
        <v>1</v>
      </c>
      <c r="G129" t="s">
        <v>92</v>
      </c>
      <c r="H129">
        <v>1.1599999999999999</v>
      </c>
      <c r="I129" s="2">
        <v>0.57999999999999996</v>
      </c>
      <c r="J129" s="47">
        <v>3</v>
      </c>
      <c r="K129" t="s">
        <v>13</v>
      </c>
      <c r="L129">
        <v>2</v>
      </c>
      <c r="M129" t="s">
        <v>13</v>
      </c>
      <c r="N129" s="56">
        <v>1</v>
      </c>
      <c r="O129">
        <v>1</v>
      </c>
      <c r="P129">
        <v>1</v>
      </c>
      <c r="Q129">
        <v>0</v>
      </c>
      <c r="R129">
        <v>0</v>
      </c>
    </row>
    <row r="130" spans="1:18">
      <c r="A130">
        <v>129</v>
      </c>
      <c r="B130">
        <v>6</v>
      </c>
      <c r="C130">
        <v>18</v>
      </c>
      <c r="D130">
        <v>1</v>
      </c>
      <c r="E130">
        <v>4</v>
      </c>
      <c r="F130">
        <v>0</v>
      </c>
      <c r="G130" t="s">
        <v>91</v>
      </c>
      <c r="H130">
        <v>1.28</v>
      </c>
      <c r="I130" s="2">
        <v>0.67367999999999995</v>
      </c>
      <c r="J130" s="47">
        <v>2</v>
      </c>
      <c r="K130" t="s">
        <v>5</v>
      </c>
      <c r="L130">
        <v>3</v>
      </c>
      <c r="M130" t="s">
        <v>13</v>
      </c>
      <c r="N130" s="56">
        <v>1</v>
      </c>
      <c r="O130">
        <v>1</v>
      </c>
      <c r="P130">
        <v>1</v>
      </c>
      <c r="Q130">
        <v>0</v>
      </c>
      <c r="R130">
        <v>0</v>
      </c>
    </row>
    <row r="131" spans="1:18">
      <c r="A131">
        <v>130</v>
      </c>
      <c r="B131">
        <v>6</v>
      </c>
      <c r="C131">
        <v>19</v>
      </c>
      <c r="D131">
        <v>1</v>
      </c>
      <c r="E131">
        <v>1</v>
      </c>
      <c r="F131">
        <v>1</v>
      </c>
      <c r="G131" t="s">
        <v>92</v>
      </c>
      <c r="H131">
        <v>1.39</v>
      </c>
      <c r="I131" s="2">
        <v>0.74331999999999998</v>
      </c>
      <c r="J131" s="47">
        <v>5</v>
      </c>
      <c r="K131" t="s">
        <v>0</v>
      </c>
      <c r="L131">
        <v>2</v>
      </c>
      <c r="M131" t="s">
        <v>15</v>
      </c>
      <c r="N131" s="56">
        <v>0</v>
      </c>
      <c r="O131">
        <v>1</v>
      </c>
      <c r="P131">
        <v>0</v>
      </c>
      <c r="Q131">
        <v>0</v>
      </c>
      <c r="R131">
        <v>0</v>
      </c>
    </row>
    <row r="132" spans="1:18">
      <c r="A132">
        <v>131</v>
      </c>
      <c r="B132">
        <v>6</v>
      </c>
      <c r="C132">
        <v>23</v>
      </c>
      <c r="D132">
        <v>4</v>
      </c>
      <c r="E132">
        <v>4</v>
      </c>
      <c r="F132">
        <v>1</v>
      </c>
      <c r="G132" t="s">
        <v>89</v>
      </c>
      <c r="H132">
        <v>1.45</v>
      </c>
      <c r="I132" s="2">
        <v>0.85294000000000003</v>
      </c>
      <c r="J132" s="47">
        <v>2</v>
      </c>
      <c r="K132" t="s">
        <v>42</v>
      </c>
      <c r="L132">
        <v>3</v>
      </c>
      <c r="M132" t="s">
        <v>13</v>
      </c>
      <c r="N132" s="56">
        <v>1</v>
      </c>
      <c r="O132">
        <v>1</v>
      </c>
      <c r="P132">
        <v>1</v>
      </c>
      <c r="Q132">
        <v>0</v>
      </c>
      <c r="R132">
        <v>0</v>
      </c>
    </row>
    <row r="133" spans="1:18">
      <c r="A133">
        <v>132</v>
      </c>
      <c r="B133">
        <v>6</v>
      </c>
      <c r="C133">
        <v>24</v>
      </c>
      <c r="D133">
        <v>1</v>
      </c>
      <c r="E133">
        <v>1</v>
      </c>
      <c r="F133">
        <v>1</v>
      </c>
      <c r="G133" t="s">
        <v>92</v>
      </c>
      <c r="H133">
        <v>1.36</v>
      </c>
      <c r="I133" s="2">
        <v>0.69035999999999997</v>
      </c>
      <c r="J133" s="47">
        <v>5</v>
      </c>
      <c r="K133" t="s">
        <v>5</v>
      </c>
      <c r="L133">
        <v>3</v>
      </c>
      <c r="M133" t="s">
        <v>13</v>
      </c>
      <c r="N133" s="56">
        <v>1</v>
      </c>
      <c r="O133">
        <v>1</v>
      </c>
      <c r="P133">
        <v>1</v>
      </c>
      <c r="Q133">
        <v>0</v>
      </c>
      <c r="R133">
        <v>0</v>
      </c>
    </row>
    <row r="134" spans="1:18">
      <c r="A134">
        <v>133</v>
      </c>
      <c r="B134">
        <v>6</v>
      </c>
      <c r="C134">
        <v>26</v>
      </c>
      <c r="D134">
        <v>1</v>
      </c>
      <c r="E134">
        <v>1</v>
      </c>
      <c r="F134">
        <v>1</v>
      </c>
      <c r="G134" t="s">
        <v>92</v>
      </c>
      <c r="H134">
        <v>1.54</v>
      </c>
      <c r="I134" s="2">
        <v>0.79793000000000003</v>
      </c>
      <c r="J134" s="47">
        <v>5</v>
      </c>
      <c r="K134" t="s">
        <v>0</v>
      </c>
      <c r="L134">
        <v>2</v>
      </c>
      <c r="M134" t="s">
        <v>15</v>
      </c>
      <c r="N134" s="56">
        <v>0</v>
      </c>
      <c r="O134">
        <v>1</v>
      </c>
      <c r="P134">
        <v>0</v>
      </c>
      <c r="Q134">
        <v>0</v>
      </c>
      <c r="R134">
        <v>0</v>
      </c>
    </row>
    <row r="135" spans="1:18">
      <c r="A135">
        <v>134</v>
      </c>
      <c r="B135">
        <v>6</v>
      </c>
      <c r="C135">
        <v>27</v>
      </c>
      <c r="D135">
        <v>4</v>
      </c>
      <c r="E135">
        <v>1</v>
      </c>
      <c r="F135">
        <v>0</v>
      </c>
      <c r="G135" t="s">
        <v>90</v>
      </c>
      <c r="H135">
        <v>1.41</v>
      </c>
      <c r="I135" s="2">
        <v>0.98601000000000005</v>
      </c>
      <c r="J135" s="47">
        <v>2</v>
      </c>
      <c r="K135" t="s">
        <v>20</v>
      </c>
      <c r="L135">
        <v>4</v>
      </c>
      <c r="M135" t="s">
        <v>13</v>
      </c>
      <c r="N135" s="56">
        <v>1</v>
      </c>
      <c r="O135">
        <v>1</v>
      </c>
      <c r="P135">
        <v>1</v>
      </c>
      <c r="Q135">
        <v>0</v>
      </c>
      <c r="R135">
        <v>0</v>
      </c>
    </row>
    <row r="136" spans="1:18">
      <c r="A136">
        <v>135</v>
      </c>
      <c r="B136">
        <v>6</v>
      </c>
      <c r="C136">
        <v>28</v>
      </c>
      <c r="D136">
        <v>1</v>
      </c>
      <c r="E136">
        <v>1</v>
      </c>
      <c r="F136">
        <v>1</v>
      </c>
      <c r="G136" t="s">
        <v>92</v>
      </c>
      <c r="H136">
        <v>1.46</v>
      </c>
      <c r="I136" s="2">
        <v>0.78075000000000006</v>
      </c>
      <c r="J136" s="47">
        <v>2</v>
      </c>
      <c r="K136" t="s">
        <v>43</v>
      </c>
      <c r="L136">
        <v>4</v>
      </c>
      <c r="M136" t="s">
        <v>18</v>
      </c>
      <c r="N136" s="56">
        <v>2</v>
      </c>
      <c r="O136">
        <v>1</v>
      </c>
      <c r="P136">
        <v>1</v>
      </c>
      <c r="Q136">
        <v>0</v>
      </c>
      <c r="R136">
        <v>1</v>
      </c>
    </row>
    <row r="137" spans="1:18">
      <c r="A137">
        <v>136</v>
      </c>
      <c r="B137">
        <v>6</v>
      </c>
      <c r="C137">
        <v>29</v>
      </c>
      <c r="D137">
        <v>4</v>
      </c>
      <c r="E137">
        <v>4</v>
      </c>
      <c r="F137">
        <v>1</v>
      </c>
      <c r="G137" t="s">
        <v>89</v>
      </c>
      <c r="H137">
        <v>1.48</v>
      </c>
      <c r="I137" s="2">
        <v>0.88622999999999996</v>
      </c>
      <c r="J137" s="47">
        <v>2</v>
      </c>
      <c r="K137" t="s">
        <v>13</v>
      </c>
      <c r="L137">
        <v>2</v>
      </c>
      <c r="M137" t="s">
        <v>13</v>
      </c>
      <c r="N137" s="56">
        <v>1</v>
      </c>
      <c r="O137">
        <v>1</v>
      </c>
      <c r="P137">
        <v>1</v>
      </c>
      <c r="Q137">
        <v>0</v>
      </c>
      <c r="R137">
        <v>0</v>
      </c>
    </row>
    <row r="138" spans="1:18">
      <c r="A138">
        <v>137</v>
      </c>
      <c r="B138">
        <v>6</v>
      </c>
      <c r="C138">
        <v>30</v>
      </c>
      <c r="D138">
        <v>4</v>
      </c>
      <c r="E138">
        <v>4</v>
      </c>
      <c r="F138">
        <v>1</v>
      </c>
      <c r="G138" t="s">
        <v>89</v>
      </c>
      <c r="H138">
        <v>1.52</v>
      </c>
      <c r="I138" s="2">
        <v>0.89412000000000003</v>
      </c>
      <c r="J138" s="47">
        <v>4</v>
      </c>
      <c r="K138" t="s">
        <v>5</v>
      </c>
      <c r="L138">
        <v>3</v>
      </c>
      <c r="M138" t="s">
        <v>13</v>
      </c>
      <c r="N138" s="56">
        <v>1</v>
      </c>
      <c r="O138">
        <v>1</v>
      </c>
      <c r="P138">
        <v>1</v>
      </c>
      <c r="Q138">
        <v>0</v>
      </c>
      <c r="R138">
        <v>0</v>
      </c>
    </row>
    <row r="139" spans="1:18">
      <c r="A139">
        <v>138</v>
      </c>
      <c r="B139">
        <v>6</v>
      </c>
      <c r="C139">
        <v>34</v>
      </c>
      <c r="D139">
        <v>1</v>
      </c>
      <c r="E139">
        <v>1</v>
      </c>
      <c r="F139">
        <v>1</v>
      </c>
      <c r="G139" t="s">
        <v>92</v>
      </c>
      <c r="H139">
        <v>1.63</v>
      </c>
      <c r="I139" s="2">
        <v>0.78744000000000003</v>
      </c>
      <c r="J139" s="47">
        <v>5</v>
      </c>
      <c r="K139" t="s">
        <v>13</v>
      </c>
      <c r="L139">
        <v>2</v>
      </c>
      <c r="M139" t="s">
        <v>13</v>
      </c>
      <c r="N139" s="56">
        <v>1</v>
      </c>
      <c r="O139">
        <v>1</v>
      </c>
      <c r="P139">
        <v>1</v>
      </c>
      <c r="Q139">
        <v>0</v>
      </c>
      <c r="R139">
        <v>0</v>
      </c>
    </row>
    <row r="140" spans="1:18">
      <c r="A140">
        <v>139</v>
      </c>
      <c r="B140">
        <v>6</v>
      </c>
      <c r="C140">
        <v>35</v>
      </c>
      <c r="D140">
        <v>1</v>
      </c>
      <c r="E140">
        <v>1</v>
      </c>
      <c r="F140">
        <v>1</v>
      </c>
      <c r="G140" t="s">
        <v>92</v>
      </c>
      <c r="H140">
        <v>1.64</v>
      </c>
      <c r="I140" s="2">
        <v>0.87700999999999996</v>
      </c>
      <c r="J140" s="47">
        <v>3</v>
      </c>
      <c r="K140" t="s">
        <v>0</v>
      </c>
      <c r="L140">
        <v>2</v>
      </c>
      <c r="M140" t="s">
        <v>15</v>
      </c>
      <c r="N140" s="56">
        <v>0</v>
      </c>
      <c r="O140">
        <v>1</v>
      </c>
      <c r="P140">
        <v>0</v>
      </c>
      <c r="Q140">
        <v>0</v>
      </c>
      <c r="R140">
        <v>0</v>
      </c>
    </row>
    <row r="141" spans="1:18">
      <c r="A141">
        <v>140</v>
      </c>
      <c r="B141">
        <v>6</v>
      </c>
      <c r="C141">
        <v>36</v>
      </c>
      <c r="D141">
        <v>1</v>
      </c>
      <c r="E141">
        <v>1</v>
      </c>
      <c r="F141">
        <v>1</v>
      </c>
      <c r="G141" t="s">
        <v>92</v>
      </c>
      <c r="H141">
        <v>1.02</v>
      </c>
      <c r="I141" s="2">
        <v>0.54544999999999999</v>
      </c>
      <c r="J141" s="47">
        <v>5</v>
      </c>
      <c r="K141" t="s">
        <v>0</v>
      </c>
      <c r="L141">
        <v>2</v>
      </c>
      <c r="M141" t="s">
        <v>15</v>
      </c>
      <c r="N141" s="56">
        <v>0</v>
      </c>
      <c r="O141">
        <v>1</v>
      </c>
      <c r="P141">
        <v>0</v>
      </c>
      <c r="Q141">
        <v>0</v>
      </c>
      <c r="R141">
        <v>0</v>
      </c>
    </row>
    <row r="142" spans="1:18">
      <c r="A142">
        <v>141</v>
      </c>
      <c r="B142">
        <v>6</v>
      </c>
      <c r="C142">
        <v>37</v>
      </c>
      <c r="D142">
        <v>4</v>
      </c>
      <c r="E142">
        <v>4</v>
      </c>
      <c r="F142">
        <v>1</v>
      </c>
      <c r="G142" t="s">
        <v>89</v>
      </c>
      <c r="H142">
        <v>1.36</v>
      </c>
      <c r="I142" s="2">
        <v>0.76836000000000004</v>
      </c>
      <c r="J142" s="47">
        <v>4</v>
      </c>
      <c r="K142" t="s">
        <v>13</v>
      </c>
      <c r="L142">
        <v>2</v>
      </c>
      <c r="M142" t="s">
        <v>13</v>
      </c>
      <c r="N142" s="56">
        <v>1</v>
      </c>
      <c r="O142">
        <v>1</v>
      </c>
      <c r="P142">
        <v>1</v>
      </c>
      <c r="Q142">
        <v>0</v>
      </c>
      <c r="R142">
        <v>0</v>
      </c>
    </row>
    <row r="143" spans="1:18">
      <c r="A143">
        <v>142</v>
      </c>
      <c r="B143">
        <v>6</v>
      </c>
      <c r="C143">
        <v>39</v>
      </c>
      <c r="D143">
        <v>1</v>
      </c>
      <c r="E143">
        <v>4</v>
      </c>
      <c r="F143">
        <v>0</v>
      </c>
      <c r="G143" t="s">
        <v>91</v>
      </c>
      <c r="H143">
        <v>1.54</v>
      </c>
      <c r="I143" s="2">
        <v>0.82352999999999998</v>
      </c>
      <c r="J143" s="47">
        <v>3</v>
      </c>
      <c r="K143" t="s">
        <v>13</v>
      </c>
      <c r="L143">
        <v>2</v>
      </c>
      <c r="M143" t="s">
        <v>13</v>
      </c>
      <c r="N143" s="56">
        <v>1</v>
      </c>
      <c r="O143">
        <v>1</v>
      </c>
      <c r="P143">
        <v>1</v>
      </c>
      <c r="Q143">
        <v>0</v>
      </c>
      <c r="R143">
        <v>0</v>
      </c>
    </row>
    <row r="144" spans="1:18">
      <c r="A144">
        <v>143</v>
      </c>
      <c r="B144">
        <v>6</v>
      </c>
      <c r="C144">
        <v>41</v>
      </c>
      <c r="D144">
        <v>1</v>
      </c>
      <c r="E144">
        <v>1</v>
      </c>
      <c r="F144">
        <v>1</v>
      </c>
      <c r="G144" t="s">
        <v>92</v>
      </c>
      <c r="H144">
        <v>1.72</v>
      </c>
      <c r="I144" s="2">
        <v>0.93989</v>
      </c>
      <c r="J144" s="47">
        <v>2</v>
      </c>
      <c r="K144" t="s">
        <v>2</v>
      </c>
      <c r="L144">
        <v>3</v>
      </c>
      <c r="M144" t="s">
        <v>15</v>
      </c>
      <c r="N144" s="56">
        <v>0</v>
      </c>
      <c r="O144">
        <v>1</v>
      </c>
      <c r="P144">
        <v>0</v>
      </c>
      <c r="Q144">
        <v>0</v>
      </c>
      <c r="R144">
        <v>0</v>
      </c>
    </row>
    <row r="145" spans="1:18">
      <c r="A145">
        <v>144</v>
      </c>
      <c r="B145">
        <v>6</v>
      </c>
      <c r="C145">
        <v>42</v>
      </c>
      <c r="D145">
        <v>1</v>
      </c>
      <c r="E145">
        <v>1</v>
      </c>
      <c r="F145">
        <v>1</v>
      </c>
      <c r="G145" t="s">
        <v>92</v>
      </c>
      <c r="H145">
        <v>1.21</v>
      </c>
      <c r="I145" s="2">
        <v>0.63683999999999996</v>
      </c>
      <c r="J145" s="47">
        <v>4</v>
      </c>
      <c r="K145" t="s">
        <v>5</v>
      </c>
      <c r="L145">
        <v>3</v>
      </c>
      <c r="M145" t="s">
        <v>13</v>
      </c>
      <c r="N145" s="56">
        <v>1</v>
      </c>
      <c r="O145">
        <v>1</v>
      </c>
      <c r="P145">
        <v>1</v>
      </c>
      <c r="Q145">
        <v>0</v>
      </c>
      <c r="R145">
        <v>0</v>
      </c>
    </row>
    <row r="146" spans="1:18">
      <c r="A146">
        <v>145</v>
      </c>
      <c r="B146">
        <v>7</v>
      </c>
      <c r="C146">
        <v>1</v>
      </c>
      <c r="D146">
        <v>4</v>
      </c>
      <c r="E146">
        <v>4</v>
      </c>
      <c r="F146">
        <v>1</v>
      </c>
      <c r="G146" t="s">
        <v>89</v>
      </c>
      <c r="H146">
        <v>1.33</v>
      </c>
      <c r="I146" s="2">
        <v>0.88666999999999996</v>
      </c>
      <c r="J146" s="47">
        <v>4</v>
      </c>
      <c r="K146" t="s">
        <v>2</v>
      </c>
      <c r="L146">
        <v>3</v>
      </c>
      <c r="M146" t="s">
        <v>15</v>
      </c>
      <c r="N146" s="56">
        <v>0</v>
      </c>
      <c r="O146">
        <v>1</v>
      </c>
      <c r="P146">
        <v>0</v>
      </c>
      <c r="Q146">
        <v>0</v>
      </c>
      <c r="R146">
        <v>0</v>
      </c>
    </row>
    <row r="147" spans="1:18">
      <c r="A147">
        <v>146</v>
      </c>
      <c r="B147">
        <v>7</v>
      </c>
      <c r="C147">
        <v>4</v>
      </c>
      <c r="D147">
        <v>4</v>
      </c>
      <c r="E147">
        <v>4</v>
      </c>
      <c r="F147">
        <v>1</v>
      </c>
      <c r="G147" t="s">
        <v>89</v>
      </c>
      <c r="H147">
        <v>1.42</v>
      </c>
      <c r="I147" s="2">
        <v>0.87117</v>
      </c>
      <c r="J147" s="47">
        <v>4</v>
      </c>
      <c r="K147" t="s">
        <v>5</v>
      </c>
      <c r="L147">
        <v>3</v>
      </c>
      <c r="M147" t="s">
        <v>13</v>
      </c>
      <c r="N147" s="56">
        <v>1</v>
      </c>
      <c r="O147">
        <v>1</v>
      </c>
      <c r="P147">
        <v>1</v>
      </c>
      <c r="Q147">
        <v>0</v>
      </c>
      <c r="R147">
        <v>0</v>
      </c>
    </row>
    <row r="148" spans="1:18">
      <c r="A148">
        <v>147</v>
      </c>
      <c r="B148">
        <v>7</v>
      </c>
      <c r="C148">
        <v>7</v>
      </c>
      <c r="D148">
        <v>4</v>
      </c>
      <c r="E148">
        <v>4</v>
      </c>
      <c r="F148">
        <v>1</v>
      </c>
      <c r="G148" t="s">
        <v>89</v>
      </c>
      <c r="H148">
        <v>1.36</v>
      </c>
      <c r="I148" s="2">
        <v>0.86624000000000001</v>
      </c>
      <c r="J148" s="47">
        <v>4</v>
      </c>
      <c r="K148" t="s">
        <v>20</v>
      </c>
      <c r="L148">
        <v>4</v>
      </c>
      <c r="M148" t="s">
        <v>13</v>
      </c>
      <c r="N148" s="56">
        <v>1</v>
      </c>
      <c r="O148">
        <v>1</v>
      </c>
      <c r="P148">
        <v>1</v>
      </c>
      <c r="Q148">
        <v>0</v>
      </c>
      <c r="R148">
        <v>0</v>
      </c>
    </row>
    <row r="149" spans="1:18">
      <c r="A149">
        <v>148</v>
      </c>
      <c r="B149">
        <v>7</v>
      </c>
      <c r="C149">
        <v>9</v>
      </c>
      <c r="D149">
        <v>4</v>
      </c>
      <c r="E149">
        <v>4</v>
      </c>
      <c r="F149">
        <v>1</v>
      </c>
      <c r="G149" t="s">
        <v>89</v>
      </c>
      <c r="H149">
        <v>1.38</v>
      </c>
      <c r="I149" s="2">
        <v>0.96503000000000005</v>
      </c>
      <c r="J149" s="47">
        <v>4</v>
      </c>
      <c r="K149" t="s">
        <v>20</v>
      </c>
      <c r="L149">
        <v>4</v>
      </c>
      <c r="M149" t="s">
        <v>13</v>
      </c>
      <c r="N149" s="56">
        <v>1</v>
      </c>
      <c r="O149">
        <v>1</v>
      </c>
      <c r="P149">
        <v>1</v>
      </c>
      <c r="Q149">
        <v>0</v>
      </c>
      <c r="R149">
        <v>0</v>
      </c>
    </row>
    <row r="150" spans="1:18">
      <c r="A150">
        <v>149</v>
      </c>
      <c r="B150">
        <v>7</v>
      </c>
      <c r="C150">
        <v>11</v>
      </c>
      <c r="D150">
        <v>4</v>
      </c>
      <c r="E150">
        <v>4</v>
      </c>
      <c r="F150">
        <v>1</v>
      </c>
      <c r="G150" t="s">
        <v>89</v>
      </c>
      <c r="H150">
        <v>1.24</v>
      </c>
      <c r="I150" s="2">
        <v>0.62944</v>
      </c>
      <c r="J150" s="47">
        <v>4</v>
      </c>
      <c r="K150" t="s">
        <v>15</v>
      </c>
      <c r="L150">
        <v>1</v>
      </c>
      <c r="M150" t="s">
        <v>15</v>
      </c>
      <c r="N150" s="56">
        <v>0</v>
      </c>
      <c r="O150">
        <v>1</v>
      </c>
      <c r="P150">
        <v>0</v>
      </c>
      <c r="Q150">
        <v>0</v>
      </c>
      <c r="R150">
        <v>0</v>
      </c>
    </row>
    <row r="151" spans="1:18">
      <c r="A151">
        <v>150</v>
      </c>
      <c r="B151">
        <v>7</v>
      </c>
      <c r="C151">
        <v>15</v>
      </c>
      <c r="D151">
        <v>4</v>
      </c>
      <c r="E151">
        <v>4</v>
      </c>
      <c r="F151">
        <v>1</v>
      </c>
      <c r="G151" t="s">
        <v>89</v>
      </c>
      <c r="H151">
        <v>1.65</v>
      </c>
      <c r="I151" s="2">
        <v>0.90164</v>
      </c>
      <c r="J151" s="47">
        <v>4</v>
      </c>
      <c r="K151" t="s">
        <v>0</v>
      </c>
      <c r="L151">
        <v>2</v>
      </c>
      <c r="M151" t="s">
        <v>15</v>
      </c>
      <c r="N151" s="56">
        <v>0</v>
      </c>
      <c r="O151">
        <v>1</v>
      </c>
      <c r="P151">
        <v>0</v>
      </c>
      <c r="Q151">
        <v>0</v>
      </c>
      <c r="R151">
        <v>0</v>
      </c>
    </row>
    <row r="152" spans="1:18">
      <c r="A152">
        <v>151</v>
      </c>
      <c r="B152">
        <v>7</v>
      </c>
      <c r="C152">
        <v>16</v>
      </c>
      <c r="D152">
        <v>4</v>
      </c>
      <c r="E152">
        <v>1</v>
      </c>
      <c r="F152">
        <v>0</v>
      </c>
      <c r="G152" t="s">
        <v>90</v>
      </c>
      <c r="H152">
        <v>1.79</v>
      </c>
      <c r="I152" s="2">
        <v>1.07186</v>
      </c>
      <c r="J152" s="47">
        <v>2</v>
      </c>
      <c r="K152" t="s">
        <v>5</v>
      </c>
      <c r="L152">
        <v>3</v>
      </c>
      <c r="M152" t="s">
        <v>13</v>
      </c>
      <c r="N152" s="56">
        <v>1</v>
      </c>
      <c r="O152">
        <v>1</v>
      </c>
      <c r="P152">
        <v>1</v>
      </c>
      <c r="Q152">
        <v>0</v>
      </c>
      <c r="R152">
        <v>0</v>
      </c>
    </row>
    <row r="153" spans="1:18">
      <c r="A153">
        <v>152</v>
      </c>
      <c r="B153">
        <v>7</v>
      </c>
      <c r="C153">
        <v>17</v>
      </c>
      <c r="D153">
        <v>1</v>
      </c>
      <c r="E153">
        <v>4</v>
      </c>
      <c r="F153">
        <v>0</v>
      </c>
      <c r="G153" t="s">
        <v>91</v>
      </c>
      <c r="H153">
        <v>1.58</v>
      </c>
      <c r="I153" s="2">
        <v>0.79</v>
      </c>
      <c r="J153" s="47">
        <v>4</v>
      </c>
      <c r="K153" t="s">
        <v>13</v>
      </c>
      <c r="L153">
        <v>2</v>
      </c>
      <c r="M153" t="s">
        <v>13</v>
      </c>
      <c r="N153" s="56">
        <v>1</v>
      </c>
      <c r="O153">
        <v>1</v>
      </c>
      <c r="P153">
        <v>1</v>
      </c>
      <c r="Q153">
        <v>0</v>
      </c>
      <c r="R153">
        <v>0</v>
      </c>
    </row>
    <row r="154" spans="1:18">
      <c r="A154">
        <v>153</v>
      </c>
      <c r="B154">
        <v>7</v>
      </c>
      <c r="C154">
        <v>18</v>
      </c>
      <c r="D154">
        <v>1</v>
      </c>
      <c r="E154">
        <v>1</v>
      </c>
      <c r="F154">
        <v>1</v>
      </c>
      <c r="G154" t="s">
        <v>92</v>
      </c>
      <c r="H154">
        <v>1.75</v>
      </c>
      <c r="I154" s="2">
        <v>0.92105000000000004</v>
      </c>
      <c r="J154" s="47">
        <v>4</v>
      </c>
      <c r="K154" t="s">
        <v>42</v>
      </c>
      <c r="L154">
        <v>3</v>
      </c>
      <c r="M154" t="s">
        <v>13</v>
      </c>
      <c r="N154" s="56">
        <v>1</v>
      </c>
      <c r="O154">
        <v>1</v>
      </c>
      <c r="P154">
        <v>1</v>
      </c>
      <c r="Q154">
        <v>0</v>
      </c>
      <c r="R154">
        <v>0</v>
      </c>
    </row>
    <row r="155" spans="1:18">
      <c r="A155">
        <v>154</v>
      </c>
      <c r="B155">
        <v>7</v>
      </c>
      <c r="C155">
        <v>19</v>
      </c>
      <c r="D155">
        <v>1</v>
      </c>
      <c r="E155">
        <v>4</v>
      </c>
      <c r="F155">
        <v>0</v>
      </c>
      <c r="G155" t="s">
        <v>91</v>
      </c>
      <c r="H155">
        <v>1.45</v>
      </c>
      <c r="I155" s="2">
        <v>0.77539999999999998</v>
      </c>
      <c r="J155" s="47">
        <v>2</v>
      </c>
      <c r="K155" t="s">
        <v>0</v>
      </c>
      <c r="L155">
        <v>2</v>
      </c>
      <c r="M155" t="s">
        <v>15</v>
      </c>
      <c r="N155" s="56">
        <v>0</v>
      </c>
      <c r="O155">
        <v>1</v>
      </c>
      <c r="P155">
        <v>0</v>
      </c>
      <c r="Q155">
        <v>0</v>
      </c>
      <c r="R155">
        <v>0</v>
      </c>
    </row>
    <row r="156" spans="1:18">
      <c r="A156">
        <v>155</v>
      </c>
      <c r="B156">
        <v>7</v>
      </c>
      <c r="C156">
        <v>23</v>
      </c>
      <c r="D156">
        <v>4</v>
      </c>
      <c r="E156">
        <v>4</v>
      </c>
      <c r="F156">
        <v>1</v>
      </c>
      <c r="G156" t="s">
        <v>89</v>
      </c>
      <c r="H156">
        <v>1.34</v>
      </c>
      <c r="I156" s="2">
        <v>0.78824000000000005</v>
      </c>
      <c r="J156" s="47">
        <v>4</v>
      </c>
      <c r="K156" t="s">
        <v>0</v>
      </c>
      <c r="L156">
        <v>2</v>
      </c>
      <c r="M156" t="s">
        <v>15</v>
      </c>
      <c r="N156" s="56">
        <v>0</v>
      </c>
      <c r="O156">
        <v>1</v>
      </c>
      <c r="P156">
        <v>0</v>
      </c>
      <c r="Q156">
        <v>0</v>
      </c>
      <c r="R156">
        <v>0</v>
      </c>
    </row>
    <row r="157" spans="1:18">
      <c r="A157">
        <v>156</v>
      </c>
      <c r="B157">
        <v>7</v>
      </c>
      <c r="C157">
        <v>24</v>
      </c>
      <c r="D157">
        <v>1</v>
      </c>
      <c r="E157">
        <v>1</v>
      </c>
      <c r="F157">
        <v>1</v>
      </c>
      <c r="G157" t="s">
        <v>92</v>
      </c>
      <c r="H157">
        <v>1.56</v>
      </c>
      <c r="I157" s="2">
        <v>0.79188000000000003</v>
      </c>
      <c r="J157" s="47">
        <v>4</v>
      </c>
      <c r="K157" t="s">
        <v>0</v>
      </c>
      <c r="L157">
        <v>2</v>
      </c>
      <c r="M157" t="s">
        <v>15</v>
      </c>
      <c r="N157" s="56">
        <v>0</v>
      </c>
      <c r="O157">
        <v>1</v>
      </c>
      <c r="P157">
        <v>0</v>
      </c>
      <c r="Q157">
        <v>0</v>
      </c>
      <c r="R157">
        <v>0</v>
      </c>
    </row>
    <row r="158" spans="1:18">
      <c r="A158">
        <v>157</v>
      </c>
      <c r="B158">
        <v>7</v>
      </c>
      <c r="C158">
        <v>26</v>
      </c>
      <c r="D158">
        <v>1</v>
      </c>
      <c r="E158">
        <v>1</v>
      </c>
      <c r="F158">
        <v>1</v>
      </c>
      <c r="G158" t="s">
        <v>92</v>
      </c>
      <c r="H158">
        <v>1.45</v>
      </c>
      <c r="I158" s="2">
        <v>0.75129999999999997</v>
      </c>
      <c r="J158" s="47">
        <v>3</v>
      </c>
      <c r="K158" t="s">
        <v>15</v>
      </c>
      <c r="L158">
        <v>1</v>
      </c>
      <c r="M158" t="s">
        <v>15</v>
      </c>
      <c r="N158" s="56">
        <v>0</v>
      </c>
      <c r="O158">
        <v>1</v>
      </c>
      <c r="P158">
        <v>0</v>
      </c>
      <c r="Q158">
        <v>0</v>
      </c>
      <c r="R158">
        <v>0</v>
      </c>
    </row>
    <row r="159" spans="1:18">
      <c r="A159">
        <v>158</v>
      </c>
      <c r="B159">
        <v>7</v>
      </c>
      <c r="C159">
        <v>27</v>
      </c>
      <c r="D159">
        <v>4</v>
      </c>
      <c r="E159">
        <v>4</v>
      </c>
      <c r="F159">
        <v>1</v>
      </c>
      <c r="G159" t="s">
        <v>89</v>
      </c>
      <c r="H159">
        <v>1.35</v>
      </c>
      <c r="I159" s="2">
        <v>0.94406000000000001</v>
      </c>
      <c r="J159" s="47">
        <v>4</v>
      </c>
      <c r="K159" t="s">
        <v>5</v>
      </c>
      <c r="L159">
        <v>3</v>
      </c>
      <c r="M159" t="s">
        <v>13</v>
      </c>
      <c r="N159" s="56">
        <v>1</v>
      </c>
      <c r="O159">
        <v>1</v>
      </c>
      <c r="P159">
        <v>1</v>
      </c>
      <c r="Q159">
        <v>0</v>
      </c>
      <c r="R159">
        <v>0</v>
      </c>
    </row>
    <row r="160" spans="1:18">
      <c r="A160">
        <v>159</v>
      </c>
      <c r="B160">
        <v>7</v>
      </c>
      <c r="C160">
        <v>28</v>
      </c>
      <c r="D160">
        <v>1</v>
      </c>
      <c r="E160">
        <v>1</v>
      </c>
      <c r="F160">
        <v>1</v>
      </c>
      <c r="G160" t="s">
        <v>92</v>
      </c>
      <c r="H160">
        <v>0.77</v>
      </c>
      <c r="I160" s="2">
        <v>0.41176000000000001</v>
      </c>
      <c r="J160" s="47">
        <v>3</v>
      </c>
      <c r="K160" t="s">
        <v>0</v>
      </c>
      <c r="L160">
        <v>2</v>
      </c>
      <c r="M160" t="s">
        <v>15</v>
      </c>
      <c r="N160" s="56">
        <v>0</v>
      </c>
      <c r="O160">
        <v>1</v>
      </c>
      <c r="P160">
        <v>0</v>
      </c>
      <c r="Q160">
        <v>0</v>
      </c>
      <c r="R160">
        <v>0</v>
      </c>
    </row>
    <row r="161" spans="1:18">
      <c r="A161">
        <v>160</v>
      </c>
      <c r="B161">
        <v>7</v>
      </c>
      <c r="C161">
        <v>29</v>
      </c>
      <c r="D161">
        <v>4</v>
      </c>
      <c r="E161">
        <v>1</v>
      </c>
      <c r="F161">
        <v>0</v>
      </c>
      <c r="G161" t="s">
        <v>90</v>
      </c>
      <c r="H161">
        <v>1.68</v>
      </c>
      <c r="I161" s="2">
        <v>1.0059899999999999</v>
      </c>
      <c r="J161" s="47">
        <v>3</v>
      </c>
      <c r="K161" t="s">
        <v>5</v>
      </c>
      <c r="L161">
        <v>3</v>
      </c>
      <c r="M161" t="s">
        <v>13</v>
      </c>
      <c r="N161" s="56">
        <v>1</v>
      </c>
      <c r="O161">
        <v>1</v>
      </c>
      <c r="P161">
        <v>1</v>
      </c>
      <c r="Q161">
        <v>0</v>
      </c>
      <c r="R161">
        <v>0</v>
      </c>
    </row>
    <row r="162" spans="1:18">
      <c r="A162">
        <v>161</v>
      </c>
      <c r="B162">
        <v>7</v>
      </c>
      <c r="C162">
        <v>30</v>
      </c>
      <c r="D162">
        <v>4</v>
      </c>
      <c r="E162">
        <v>1</v>
      </c>
      <c r="F162">
        <v>0</v>
      </c>
      <c r="G162" t="s">
        <v>90</v>
      </c>
      <c r="H162">
        <v>1.1299999999999999</v>
      </c>
      <c r="I162" s="2">
        <v>0.66471000000000002</v>
      </c>
      <c r="J162" s="47">
        <v>2</v>
      </c>
      <c r="K162" t="s">
        <v>0</v>
      </c>
      <c r="L162">
        <v>2</v>
      </c>
      <c r="M162" t="s">
        <v>15</v>
      </c>
      <c r="N162" s="56">
        <v>0</v>
      </c>
      <c r="O162">
        <v>1</v>
      </c>
      <c r="P162">
        <v>0</v>
      </c>
      <c r="Q162">
        <v>0</v>
      </c>
      <c r="R162">
        <v>0</v>
      </c>
    </row>
    <row r="163" spans="1:18">
      <c r="A163">
        <v>162</v>
      </c>
      <c r="B163">
        <v>7</v>
      </c>
      <c r="C163">
        <v>34</v>
      </c>
      <c r="D163">
        <v>1</v>
      </c>
      <c r="E163">
        <v>1</v>
      </c>
      <c r="F163">
        <v>1</v>
      </c>
      <c r="G163" t="s">
        <v>92</v>
      </c>
      <c r="H163">
        <v>1.39</v>
      </c>
      <c r="I163" s="2">
        <v>0.67149999999999999</v>
      </c>
      <c r="J163" s="47">
        <v>4</v>
      </c>
      <c r="K163" t="s">
        <v>0</v>
      </c>
      <c r="L163">
        <v>2</v>
      </c>
      <c r="M163" t="s">
        <v>15</v>
      </c>
      <c r="N163" s="56">
        <v>0</v>
      </c>
      <c r="O163">
        <v>1</v>
      </c>
      <c r="P163">
        <v>0</v>
      </c>
      <c r="Q163">
        <v>0</v>
      </c>
      <c r="R163">
        <v>0</v>
      </c>
    </row>
    <row r="164" spans="1:18">
      <c r="A164">
        <v>163</v>
      </c>
      <c r="B164">
        <v>7</v>
      </c>
      <c r="C164">
        <v>35</v>
      </c>
      <c r="D164">
        <v>1</v>
      </c>
      <c r="E164">
        <v>4</v>
      </c>
      <c r="F164">
        <v>0</v>
      </c>
      <c r="G164" t="s">
        <v>91</v>
      </c>
      <c r="H164">
        <v>1.1599999999999999</v>
      </c>
      <c r="I164" s="2">
        <v>0.62031999999999998</v>
      </c>
      <c r="J164" s="47">
        <v>3</v>
      </c>
      <c r="K164" t="s">
        <v>0</v>
      </c>
      <c r="L164">
        <v>2</v>
      </c>
      <c r="M164" t="s">
        <v>15</v>
      </c>
      <c r="N164" s="56">
        <v>0</v>
      </c>
      <c r="O164">
        <v>1</v>
      </c>
      <c r="P164">
        <v>0</v>
      </c>
      <c r="Q164">
        <v>0</v>
      </c>
      <c r="R164">
        <v>0</v>
      </c>
    </row>
    <row r="165" spans="1:18">
      <c r="A165">
        <v>164</v>
      </c>
      <c r="B165">
        <v>7</v>
      </c>
      <c r="C165">
        <v>36</v>
      </c>
      <c r="D165">
        <v>1</v>
      </c>
      <c r="E165">
        <v>4</v>
      </c>
      <c r="F165">
        <v>0</v>
      </c>
      <c r="G165" t="s">
        <v>91</v>
      </c>
      <c r="H165">
        <v>1.57</v>
      </c>
      <c r="I165" s="2">
        <v>0.83957000000000004</v>
      </c>
      <c r="J165" s="47">
        <v>3</v>
      </c>
      <c r="K165" t="s">
        <v>13</v>
      </c>
      <c r="L165">
        <v>2</v>
      </c>
      <c r="M165" t="s">
        <v>13</v>
      </c>
      <c r="N165" s="56">
        <v>1</v>
      </c>
      <c r="O165">
        <v>1</v>
      </c>
      <c r="P165">
        <v>1</v>
      </c>
      <c r="Q165">
        <v>0</v>
      </c>
      <c r="R165">
        <v>0</v>
      </c>
    </row>
    <row r="166" spans="1:18">
      <c r="A166">
        <v>165</v>
      </c>
      <c r="B166">
        <v>7</v>
      </c>
      <c r="C166">
        <v>37</v>
      </c>
      <c r="D166">
        <v>4</v>
      </c>
      <c r="E166">
        <v>4</v>
      </c>
      <c r="F166">
        <v>1</v>
      </c>
      <c r="G166" t="s">
        <v>89</v>
      </c>
      <c r="H166">
        <v>1.61</v>
      </c>
      <c r="I166" s="2">
        <v>0.90959999999999996</v>
      </c>
      <c r="J166" s="47">
        <v>4</v>
      </c>
      <c r="K166" t="s">
        <v>0</v>
      </c>
      <c r="L166">
        <v>2</v>
      </c>
      <c r="M166" t="s">
        <v>15</v>
      </c>
      <c r="N166" s="56">
        <v>0</v>
      </c>
      <c r="O166">
        <v>1</v>
      </c>
      <c r="P166">
        <v>0</v>
      </c>
      <c r="Q166">
        <v>0</v>
      </c>
      <c r="R166">
        <v>0</v>
      </c>
    </row>
    <row r="167" spans="1:18">
      <c r="A167">
        <v>166</v>
      </c>
      <c r="B167">
        <v>7</v>
      </c>
      <c r="C167">
        <v>39</v>
      </c>
      <c r="D167">
        <v>1</v>
      </c>
      <c r="E167">
        <v>1</v>
      </c>
      <c r="F167">
        <v>1</v>
      </c>
      <c r="G167" t="s">
        <v>92</v>
      </c>
      <c r="H167">
        <v>1</v>
      </c>
      <c r="I167" s="2">
        <v>0.53476000000000001</v>
      </c>
      <c r="J167" s="47">
        <v>4</v>
      </c>
      <c r="K167" t="s">
        <v>15</v>
      </c>
      <c r="L167">
        <v>1</v>
      </c>
      <c r="M167" t="s">
        <v>15</v>
      </c>
      <c r="N167" s="56">
        <v>0</v>
      </c>
      <c r="O167">
        <v>1</v>
      </c>
      <c r="P167">
        <v>0</v>
      </c>
      <c r="Q167">
        <v>0</v>
      </c>
      <c r="R167">
        <v>0</v>
      </c>
    </row>
    <row r="168" spans="1:18">
      <c r="A168">
        <v>167</v>
      </c>
      <c r="B168">
        <v>7</v>
      </c>
      <c r="C168">
        <v>41</v>
      </c>
      <c r="D168">
        <v>1</v>
      </c>
      <c r="E168">
        <v>4</v>
      </c>
      <c r="F168">
        <v>0</v>
      </c>
      <c r="G168" t="s">
        <v>91</v>
      </c>
      <c r="H168">
        <v>1.86</v>
      </c>
      <c r="I168" s="2">
        <v>1.0163899999999999</v>
      </c>
      <c r="J168" s="47">
        <v>3</v>
      </c>
      <c r="K168" t="s">
        <v>0</v>
      </c>
      <c r="L168">
        <v>2</v>
      </c>
      <c r="M168" t="s">
        <v>15</v>
      </c>
      <c r="N168" s="56">
        <v>0</v>
      </c>
      <c r="O168">
        <v>1</v>
      </c>
      <c r="P168">
        <v>0</v>
      </c>
      <c r="Q168">
        <v>0</v>
      </c>
      <c r="R168">
        <v>0</v>
      </c>
    </row>
    <row r="169" spans="1:18">
      <c r="A169">
        <v>168</v>
      </c>
      <c r="B169">
        <v>7</v>
      </c>
      <c r="C169">
        <v>42</v>
      </c>
      <c r="D169">
        <v>1</v>
      </c>
      <c r="E169">
        <v>4</v>
      </c>
      <c r="F169">
        <v>0</v>
      </c>
      <c r="G169" t="s">
        <v>91</v>
      </c>
      <c r="H169">
        <v>1.48</v>
      </c>
      <c r="I169" s="2">
        <v>0.77895000000000003</v>
      </c>
      <c r="J169" s="47">
        <v>4</v>
      </c>
      <c r="K169" t="s">
        <v>15</v>
      </c>
      <c r="L169">
        <v>1</v>
      </c>
      <c r="M169" t="s">
        <v>15</v>
      </c>
      <c r="N169" s="56">
        <v>0</v>
      </c>
      <c r="O169">
        <v>1</v>
      </c>
      <c r="P169">
        <v>0</v>
      </c>
      <c r="Q169">
        <v>0</v>
      </c>
      <c r="R169">
        <v>0</v>
      </c>
    </row>
    <row r="170" spans="1:18">
      <c r="A170">
        <v>169</v>
      </c>
      <c r="B170">
        <v>8</v>
      </c>
      <c r="C170">
        <v>1</v>
      </c>
      <c r="D170">
        <v>4</v>
      </c>
      <c r="E170">
        <v>4</v>
      </c>
      <c r="F170">
        <v>1</v>
      </c>
      <c r="G170" t="s">
        <v>89</v>
      </c>
      <c r="H170">
        <v>1.64</v>
      </c>
      <c r="I170" s="2">
        <v>1.0933299999999999</v>
      </c>
      <c r="J170" s="47">
        <v>4</v>
      </c>
      <c r="K170" t="s">
        <v>5</v>
      </c>
      <c r="L170">
        <v>3</v>
      </c>
      <c r="M170" t="s">
        <v>13</v>
      </c>
      <c r="N170" s="56">
        <v>1</v>
      </c>
      <c r="O170">
        <v>1</v>
      </c>
      <c r="P170">
        <v>1</v>
      </c>
      <c r="Q170">
        <v>0</v>
      </c>
      <c r="R170">
        <v>0</v>
      </c>
    </row>
    <row r="171" spans="1:18">
      <c r="A171">
        <v>170</v>
      </c>
      <c r="B171">
        <v>8</v>
      </c>
      <c r="C171">
        <v>4</v>
      </c>
      <c r="D171">
        <v>4</v>
      </c>
      <c r="E171">
        <v>1</v>
      </c>
      <c r="F171">
        <v>0</v>
      </c>
      <c r="G171" t="s">
        <v>90</v>
      </c>
      <c r="H171">
        <v>1.43</v>
      </c>
      <c r="I171" s="2">
        <v>0.87729999999999997</v>
      </c>
      <c r="J171" s="47">
        <v>4</v>
      </c>
      <c r="K171" t="s">
        <v>2</v>
      </c>
      <c r="L171">
        <v>3</v>
      </c>
      <c r="M171" t="s">
        <v>15</v>
      </c>
      <c r="N171" s="56">
        <v>0</v>
      </c>
      <c r="O171">
        <v>1</v>
      </c>
      <c r="P171">
        <v>0</v>
      </c>
      <c r="Q171">
        <v>0</v>
      </c>
      <c r="R171">
        <v>0</v>
      </c>
    </row>
    <row r="172" spans="1:18">
      <c r="A172">
        <v>171</v>
      </c>
      <c r="B172">
        <v>8</v>
      </c>
      <c r="C172">
        <v>7</v>
      </c>
      <c r="D172">
        <v>4</v>
      </c>
      <c r="E172">
        <v>4</v>
      </c>
      <c r="F172">
        <v>1</v>
      </c>
      <c r="G172" t="s">
        <v>89</v>
      </c>
      <c r="H172">
        <v>1.81</v>
      </c>
      <c r="I172" s="2">
        <v>1.1528700000000001</v>
      </c>
      <c r="J172" s="47">
        <v>5</v>
      </c>
      <c r="K172" t="s">
        <v>29</v>
      </c>
      <c r="L172">
        <v>5</v>
      </c>
      <c r="M172" t="s">
        <v>13</v>
      </c>
      <c r="N172" s="56">
        <v>1</v>
      </c>
      <c r="O172">
        <v>1</v>
      </c>
      <c r="P172">
        <v>1</v>
      </c>
      <c r="Q172">
        <v>0</v>
      </c>
      <c r="R172">
        <v>0</v>
      </c>
    </row>
    <row r="173" spans="1:18">
      <c r="A173">
        <v>172</v>
      </c>
      <c r="B173">
        <v>8</v>
      </c>
      <c r="C173">
        <v>9</v>
      </c>
      <c r="D173">
        <v>4</v>
      </c>
      <c r="E173">
        <v>1</v>
      </c>
      <c r="F173">
        <v>0</v>
      </c>
      <c r="G173" t="s">
        <v>90</v>
      </c>
      <c r="H173">
        <v>1.47</v>
      </c>
      <c r="I173" s="2">
        <v>1.0279700000000001</v>
      </c>
      <c r="J173" s="47">
        <v>3</v>
      </c>
      <c r="K173" t="s">
        <v>13</v>
      </c>
      <c r="L173">
        <v>2</v>
      </c>
      <c r="M173" t="s">
        <v>13</v>
      </c>
      <c r="N173" s="56">
        <v>1</v>
      </c>
      <c r="O173">
        <v>1</v>
      </c>
      <c r="P173">
        <v>1</v>
      </c>
      <c r="Q173">
        <v>0</v>
      </c>
      <c r="R173">
        <v>0</v>
      </c>
    </row>
    <row r="174" spans="1:18">
      <c r="A174">
        <v>173</v>
      </c>
      <c r="B174">
        <v>8</v>
      </c>
      <c r="C174">
        <v>11</v>
      </c>
      <c r="D174">
        <v>4</v>
      </c>
      <c r="E174">
        <v>4</v>
      </c>
      <c r="F174">
        <v>1</v>
      </c>
      <c r="G174" t="s">
        <v>89</v>
      </c>
      <c r="H174">
        <v>1.47</v>
      </c>
      <c r="I174" s="2">
        <v>0.74619000000000002</v>
      </c>
      <c r="J174" s="47">
        <v>3</v>
      </c>
      <c r="K174" t="s">
        <v>0</v>
      </c>
      <c r="L174">
        <v>2</v>
      </c>
      <c r="M174" t="s">
        <v>15</v>
      </c>
      <c r="N174" s="56">
        <v>0</v>
      </c>
      <c r="O174">
        <v>1</v>
      </c>
      <c r="P174">
        <v>0</v>
      </c>
      <c r="Q174">
        <v>0</v>
      </c>
      <c r="R174">
        <v>0</v>
      </c>
    </row>
    <row r="175" spans="1:18">
      <c r="A175">
        <v>174</v>
      </c>
      <c r="B175">
        <v>8</v>
      </c>
      <c r="C175">
        <v>15</v>
      </c>
      <c r="D175">
        <v>4</v>
      </c>
      <c r="E175">
        <v>4</v>
      </c>
      <c r="F175">
        <v>1</v>
      </c>
      <c r="G175" t="s">
        <v>89</v>
      </c>
      <c r="H175">
        <v>1.87</v>
      </c>
      <c r="I175" s="2">
        <v>1.02186</v>
      </c>
      <c r="J175" s="47">
        <v>3</v>
      </c>
      <c r="K175" t="s">
        <v>0</v>
      </c>
      <c r="L175">
        <v>2</v>
      </c>
      <c r="M175" t="s">
        <v>15</v>
      </c>
      <c r="N175" s="56">
        <v>0</v>
      </c>
      <c r="O175">
        <v>1</v>
      </c>
      <c r="P175">
        <v>0</v>
      </c>
      <c r="Q175">
        <v>0</v>
      </c>
      <c r="R175">
        <v>0</v>
      </c>
    </row>
    <row r="176" spans="1:18">
      <c r="A176">
        <v>175</v>
      </c>
      <c r="B176">
        <v>8</v>
      </c>
      <c r="C176">
        <v>16</v>
      </c>
      <c r="D176">
        <v>4</v>
      </c>
      <c r="E176">
        <v>4</v>
      </c>
      <c r="F176">
        <v>1</v>
      </c>
      <c r="G176" t="s">
        <v>89</v>
      </c>
      <c r="H176">
        <v>1.32</v>
      </c>
      <c r="I176" s="2">
        <v>0.79042000000000001</v>
      </c>
      <c r="J176" s="47">
        <v>4</v>
      </c>
      <c r="K176" t="s">
        <v>0</v>
      </c>
      <c r="L176">
        <v>2</v>
      </c>
      <c r="M176" t="s">
        <v>15</v>
      </c>
      <c r="N176" s="56">
        <v>0</v>
      </c>
      <c r="O176">
        <v>1</v>
      </c>
      <c r="P176">
        <v>0</v>
      </c>
      <c r="Q176">
        <v>0</v>
      </c>
      <c r="R176">
        <v>0</v>
      </c>
    </row>
    <row r="177" spans="1:18">
      <c r="A177">
        <v>176</v>
      </c>
      <c r="B177">
        <v>8</v>
      </c>
      <c r="C177">
        <v>17</v>
      </c>
      <c r="D177">
        <v>1</v>
      </c>
      <c r="E177">
        <v>4</v>
      </c>
      <c r="F177">
        <v>0</v>
      </c>
      <c r="G177" t="s">
        <v>91</v>
      </c>
      <c r="H177">
        <v>1.76</v>
      </c>
      <c r="I177" s="2">
        <v>0.88</v>
      </c>
      <c r="J177" s="47">
        <v>2</v>
      </c>
      <c r="K177" t="s">
        <v>14</v>
      </c>
      <c r="L177">
        <v>3</v>
      </c>
      <c r="M177" t="s">
        <v>14</v>
      </c>
      <c r="N177" s="56">
        <v>2</v>
      </c>
      <c r="O177">
        <v>1</v>
      </c>
      <c r="P177">
        <v>1</v>
      </c>
      <c r="Q177">
        <v>0</v>
      </c>
      <c r="R177">
        <v>1</v>
      </c>
    </row>
    <row r="178" spans="1:18">
      <c r="A178">
        <v>177</v>
      </c>
      <c r="B178">
        <v>8</v>
      </c>
      <c r="C178">
        <v>18</v>
      </c>
      <c r="D178">
        <v>1</v>
      </c>
      <c r="E178">
        <v>4</v>
      </c>
      <c r="F178">
        <v>0</v>
      </c>
      <c r="G178" t="s">
        <v>91</v>
      </c>
      <c r="H178">
        <v>1.59</v>
      </c>
      <c r="I178" s="2">
        <v>0.83684000000000003</v>
      </c>
      <c r="J178" s="47">
        <v>3</v>
      </c>
      <c r="K178" t="s">
        <v>5</v>
      </c>
      <c r="L178">
        <v>3</v>
      </c>
      <c r="M178" t="s">
        <v>13</v>
      </c>
      <c r="N178" s="56">
        <v>1</v>
      </c>
      <c r="O178">
        <v>1</v>
      </c>
      <c r="P178">
        <v>1</v>
      </c>
      <c r="Q178">
        <v>0</v>
      </c>
      <c r="R178">
        <v>0</v>
      </c>
    </row>
    <row r="179" spans="1:18">
      <c r="A179">
        <v>178</v>
      </c>
      <c r="B179">
        <v>8</v>
      </c>
      <c r="C179">
        <v>19</v>
      </c>
      <c r="D179">
        <v>1</v>
      </c>
      <c r="E179">
        <v>1</v>
      </c>
      <c r="F179">
        <v>1</v>
      </c>
      <c r="G179" t="s">
        <v>92</v>
      </c>
      <c r="H179">
        <v>1.37</v>
      </c>
      <c r="I179" s="2">
        <v>0.73262000000000005</v>
      </c>
      <c r="J179" s="47">
        <v>3</v>
      </c>
      <c r="K179" t="s">
        <v>2</v>
      </c>
      <c r="L179">
        <v>3</v>
      </c>
      <c r="M179" t="s">
        <v>15</v>
      </c>
      <c r="N179" s="56">
        <v>0</v>
      </c>
      <c r="O179">
        <v>1</v>
      </c>
      <c r="P179">
        <v>0</v>
      </c>
      <c r="Q179">
        <v>0</v>
      </c>
      <c r="R179">
        <v>0</v>
      </c>
    </row>
    <row r="180" spans="1:18">
      <c r="A180">
        <v>179</v>
      </c>
      <c r="B180">
        <v>8</v>
      </c>
      <c r="C180">
        <v>23</v>
      </c>
      <c r="D180">
        <v>4</v>
      </c>
      <c r="E180">
        <v>4</v>
      </c>
      <c r="F180">
        <v>1</v>
      </c>
      <c r="G180" t="s">
        <v>89</v>
      </c>
      <c r="H180">
        <v>1.61</v>
      </c>
      <c r="I180" s="2">
        <v>0.94706000000000001</v>
      </c>
      <c r="J180" s="47">
        <v>4</v>
      </c>
      <c r="K180" t="s">
        <v>5</v>
      </c>
      <c r="L180">
        <v>3</v>
      </c>
      <c r="M180" t="s">
        <v>13</v>
      </c>
      <c r="N180" s="56">
        <v>1</v>
      </c>
      <c r="O180">
        <v>1</v>
      </c>
      <c r="P180">
        <v>1</v>
      </c>
      <c r="Q180">
        <v>0</v>
      </c>
      <c r="R180">
        <v>0</v>
      </c>
    </row>
    <row r="181" spans="1:18">
      <c r="A181">
        <v>180</v>
      </c>
      <c r="B181">
        <v>8</v>
      </c>
      <c r="C181">
        <v>24</v>
      </c>
      <c r="D181">
        <v>1</v>
      </c>
      <c r="E181">
        <v>1</v>
      </c>
      <c r="F181">
        <v>1</v>
      </c>
      <c r="G181" t="s">
        <v>92</v>
      </c>
      <c r="H181">
        <v>1.24</v>
      </c>
      <c r="I181" s="2">
        <v>0.62944</v>
      </c>
      <c r="J181" s="47">
        <v>2</v>
      </c>
      <c r="K181" t="s">
        <v>0</v>
      </c>
      <c r="L181">
        <v>2</v>
      </c>
      <c r="M181" t="s">
        <v>15</v>
      </c>
      <c r="N181" s="56">
        <v>0</v>
      </c>
      <c r="O181">
        <v>1</v>
      </c>
      <c r="P181">
        <v>0</v>
      </c>
      <c r="Q181">
        <v>0</v>
      </c>
      <c r="R181">
        <v>0</v>
      </c>
    </row>
    <row r="182" spans="1:18">
      <c r="A182">
        <v>181</v>
      </c>
      <c r="B182">
        <v>8</v>
      </c>
      <c r="C182">
        <v>26</v>
      </c>
      <c r="D182">
        <v>1</v>
      </c>
      <c r="E182">
        <v>1</v>
      </c>
      <c r="F182">
        <v>1</v>
      </c>
      <c r="G182" t="s">
        <v>92</v>
      </c>
      <c r="H182">
        <v>1.19</v>
      </c>
      <c r="I182" s="2">
        <v>0.61658000000000002</v>
      </c>
      <c r="J182" s="47">
        <v>5</v>
      </c>
      <c r="K182" t="s">
        <v>0</v>
      </c>
      <c r="L182">
        <v>2</v>
      </c>
      <c r="M182" t="s">
        <v>15</v>
      </c>
      <c r="N182" s="56">
        <v>0</v>
      </c>
      <c r="O182">
        <v>1</v>
      </c>
      <c r="P182">
        <v>0</v>
      </c>
      <c r="Q182">
        <v>0</v>
      </c>
      <c r="R182">
        <v>0</v>
      </c>
    </row>
    <row r="183" spans="1:18">
      <c r="A183">
        <v>182</v>
      </c>
      <c r="B183">
        <v>8</v>
      </c>
      <c r="C183">
        <v>27</v>
      </c>
      <c r="D183">
        <v>4</v>
      </c>
      <c r="E183">
        <v>4</v>
      </c>
      <c r="F183">
        <v>1</v>
      </c>
      <c r="G183" t="s">
        <v>89</v>
      </c>
      <c r="H183">
        <v>1.29</v>
      </c>
      <c r="I183" s="2">
        <v>0.90210000000000001</v>
      </c>
      <c r="J183" s="47">
        <v>5</v>
      </c>
      <c r="K183" t="s">
        <v>2</v>
      </c>
      <c r="L183">
        <v>3</v>
      </c>
      <c r="M183" t="s">
        <v>15</v>
      </c>
      <c r="N183" s="56">
        <v>0</v>
      </c>
      <c r="O183">
        <v>1</v>
      </c>
      <c r="P183">
        <v>0</v>
      </c>
      <c r="Q183">
        <v>0</v>
      </c>
      <c r="R183">
        <v>0</v>
      </c>
    </row>
    <row r="184" spans="1:18">
      <c r="A184">
        <v>183</v>
      </c>
      <c r="B184">
        <v>8</v>
      </c>
      <c r="C184">
        <v>28</v>
      </c>
      <c r="D184">
        <v>1</v>
      </c>
      <c r="E184">
        <v>4</v>
      </c>
      <c r="F184">
        <v>0</v>
      </c>
      <c r="G184" t="s">
        <v>91</v>
      </c>
      <c r="H184">
        <v>1.64</v>
      </c>
      <c r="I184" s="2">
        <v>0.87700999999999996</v>
      </c>
      <c r="J184" s="47">
        <v>4</v>
      </c>
      <c r="K184" t="s">
        <v>24</v>
      </c>
      <c r="L184">
        <v>3</v>
      </c>
      <c r="M184" t="s">
        <v>31</v>
      </c>
      <c r="N184" s="56">
        <v>1</v>
      </c>
      <c r="O184">
        <v>1</v>
      </c>
      <c r="P184">
        <v>0</v>
      </c>
      <c r="Q184">
        <v>0</v>
      </c>
      <c r="R184">
        <v>1</v>
      </c>
    </row>
    <row r="185" spans="1:18">
      <c r="A185">
        <v>184</v>
      </c>
      <c r="B185">
        <v>8</v>
      </c>
      <c r="C185">
        <v>29</v>
      </c>
      <c r="D185">
        <v>4</v>
      </c>
      <c r="E185">
        <v>4</v>
      </c>
      <c r="F185">
        <v>1</v>
      </c>
      <c r="G185" t="s">
        <v>89</v>
      </c>
      <c r="H185">
        <v>1.8</v>
      </c>
      <c r="I185" s="2">
        <v>1.0778399999999999</v>
      </c>
      <c r="J185" s="47">
        <v>3</v>
      </c>
      <c r="K185" t="s">
        <v>5</v>
      </c>
      <c r="L185">
        <v>3</v>
      </c>
      <c r="M185" t="s">
        <v>13</v>
      </c>
      <c r="N185" s="56">
        <v>1</v>
      </c>
      <c r="O185">
        <v>1</v>
      </c>
      <c r="P185">
        <v>1</v>
      </c>
      <c r="Q185">
        <v>0</v>
      </c>
      <c r="R185">
        <v>0</v>
      </c>
    </row>
    <row r="186" spans="1:18">
      <c r="A186">
        <v>185</v>
      </c>
      <c r="B186">
        <v>8</v>
      </c>
      <c r="C186">
        <v>30</v>
      </c>
      <c r="D186">
        <v>4</v>
      </c>
      <c r="E186">
        <v>4</v>
      </c>
      <c r="F186">
        <v>1</v>
      </c>
      <c r="G186" t="s">
        <v>89</v>
      </c>
      <c r="H186">
        <v>1.63</v>
      </c>
      <c r="I186" s="2">
        <v>0.95882000000000001</v>
      </c>
      <c r="J186" s="47">
        <v>4</v>
      </c>
      <c r="K186" t="s">
        <v>5</v>
      </c>
      <c r="L186">
        <v>3</v>
      </c>
      <c r="M186" t="s">
        <v>13</v>
      </c>
      <c r="N186" s="56">
        <v>1</v>
      </c>
      <c r="O186">
        <v>1</v>
      </c>
      <c r="P186">
        <v>1</v>
      </c>
      <c r="Q186">
        <v>0</v>
      </c>
      <c r="R186">
        <v>0</v>
      </c>
    </row>
    <row r="187" spans="1:18">
      <c r="A187">
        <v>186</v>
      </c>
      <c r="B187">
        <v>8</v>
      </c>
      <c r="C187">
        <v>34</v>
      </c>
      <c r="D187">
        <v>1</v>
      </c>
      <c r="E187">
        <v>1</v>
      </c>
      <c r="F187">
        <v>1</v>
      </c>
      <c r="G187" t="s">
        <v>92</v>
      </c>
      <c r="H187">
        <v>1.78</v>
      </c>
      <c r="I187" s="2">
        <v>0.8599</v>
      </c>
      <c r="J187" s="47">
        <v>3</v>
      </c>
      <c r="K187" t="s">
        <v>24</v>
      </c>
      <c r="L187">
        <v>3</v>
      </c>
      <c r="M187" t="s">
        <v>31</v>
      </c>
      <c r="N187" s="56">
        <v>1</v>
      </c>
      <c r="O187">
        <v>1</v>
      </c>
      <c r="P187">
        <v>0</v>
      </c>
      <c r="Q187">
        <v>0</v>
      </c>
      <c r="R187">
        <v>1</v>
      </c>
    </row>
    <row r="188" spans="1:18">
      <c r="A188">
        <v>187</v>
      </c>
      <c r="B188">
        <v>8</v>
      </c>
      <c r="C188">
        <v>35</v>
      </c>
      <c r="D188">
        <v>1</v>
      </c>
      <c r="E188">
        <v>1</v>
      </c>
      <c r="F188">
        <v>1</v>
      </c>
      <c r="G188" t="s">
        <v>92</v>
      </c>
      <c r="H188">
        <v>1.98</v>
      </c>
      <c r="I188" s="2">
        <v>1.0588200000000001</v>
      </c>
      <c r="J188" s="47">
        <v>3</v>
      </c>
      <c r="K188" t="s">
        <v>26</v>
      </c>
      <c r="L188">
        <v>3</v>
      </c>
      <c r="M188" t="s">
        <v>38</v>
      </c>
      <c r="N188" s="56">
        <v>1</v>
      </c>
      <c r="O188">
        <v>1</v>
      </c>
      <c r="P188">
        <v>0</v>
      </c>
      <c r="Q188">
        <v>1</v>
      </c>
      <c r="R188">
        <v>0</v>
      </c>
    </row>
    <row r="189" spans="1:18">
      <c r="A189">
        <v>188</v>
      </c>
      <c r="B189">
        <v>8</v>
      </c>
      <c r="C189">
        <v>36</v>
      </c>
      <c r="D189">
        <v>1</v>
      </c>
      <c r="E189">
        <v>4</v>
      </c>
      <c r="F189">
        <v>0</v>
      </c>
      <c r="G189" t="s">
        <v>91</v>
      </c>
      <c r="H189">
        <v>1.66</v>
      </c>
      <c r="I189" s="2">
        <v>0.88770000000000004</v>
      </c>
      <c r="J189" s="47">
        <v>4</v>
      </c>
      <c r="K189" t="s">
        <v>0</v>
      </c>
      <c r="L189">
        <v>2</v>
      </c>
      <c r="M189" t="s">
        <v>15</v>
      </c>
      <c r="N189" s="56">
        <v>0</v>
      </c>
      <c r="O189">
        <v>1</v>
      </c>
      <c r="P189">
        <v>0</v>
      </c>
      <c r="Q189">
        <v>0</v>
      </c>
      <c r="R189">
        <v>0</v>
      </c>
    </row>
    <row r="190" spans="1:18">
      <c r="A190">
        <v>189</v>
      </c>
      <c r="B190">
        <v>8</v>
      </c>
      <c r="C190">
        <v>37</v>
      </c>
      <c r="D190">
        <v>4</v>
      </c>
      <c r="E190">
        <v>1</v>
      </c>
      <c r="F190">
        <v>0</v>
      </c>
      <c r="G190" t="s">
        <v>90</v>
      </c>
      <c r="H190">
        <v>1.2</v>
      </c>
      <c r="I190" s="2">
        <v>0.67796999999999996</v>
      </c>
      <c r="J190" s="47">
        <v>4</v>
      </c>
      <c r="K190" t="s">
        <v>15</v>
      </c>
      <c r="L190">
        <v>1</v>
      </c>
      <c r="M190" t="s">
        <v>15</v>
      </c>
      <c r="N190" s="56">
        <v>0</v>
      </c>
      <c r="O190">
        <v>1</v>
      </c>
      <c r="P190">
        <v>0</v>
      </c>
      <c r="Q190">
        <v>0</v>
      </c>
      <c r="R190">
        <v>0</v>
      </c>
    </row>
    <row r="191" spans="1:18">
      <c r="A191">
        <v>190</v>
      </c>
      <c r="B191">
        <v>8</v>
      </c>
      <c r="C191">
        <v>39</v>
      </c>
      <c r="D191">
        <v>1</v>
      </c>
      <c r="G191" t="s">
        <v>88</v>
      </c>
      <c r="I191" s="2"/>
      <c r="J191" s="47"/>
      <c r="N191" s="56"/>
    </row>
    <row r="192" spans="1:18">
      <c r="A192">
        <v>191</v>
      </c>
      <c r="B192">
        <v>8</v>
      </c>
      <c r="C192">
        <v>41</v>
      </c>
      <c r="D192">
        <v>1</v>
      </c>
      <c r="E192">
        <v>1</v>
      </c>
      <c r="F192">
        <v>1</v>
      </c>
      <c r="G192" t="s">
        <v>92</v>
      </c>
      <c r="H192">
        <v>1.36</v>
      </c>
      <c r="I192" s="2">
        <v>0.74317</v>
      </c>
      <c r="J192" s="47">
        <v>4</v>
      </c>
      <c r="K192" t="s">
        <v>2</v>
      </c>
      <c r="L192">
        <v>3</v>
      </c>
      <c r="M192" t="s">
        <v>15</v>
      </c>
      <c r="N192" s="56">
        <v>0</v>
      </c>
      <c r="O192">
        <v>1</v>
      </c>
      <c r="P192">
        <v>0</v>
      </c>
      <c r="Q192">
        <v>0</v>
      </c>
      <c r="R192">
        <v>0</v>
      </c>
    </row>
    <row r="193" spans="1:18">
      <c r="A193">
        <v>192</v>
      </c>
      <c r="B193">
        <v>8</v>
      </c>
      <c r="C193">
        <v>42</v>
      </c>
      <c r="D193">
        <v>1</v>
      </c>
      <c r="E193">
        <v>1</v>
      </c>
      <c r="F193">
        <v>1</v>
      </c>
      <c r="G193" t="s">
        <v>92</v>
      </c>
      <c r="H193">
        <v>1.84</v>
      </c>
      <c r="I193" s="2">
        <v>0.96841999999999995</v>
      </c>
      <c r="J193" s="47">
        <v>4</v>
      </c>
      <c r="K193" t="s">
        <v>5</v>
      </c>
      <c r="L193">
        <v>3</v>
      </c>
      <c r="M193" t="s">
        <v>13</v>
      </c>
      <c r="N193" s="56">
        <v>1</v>
      </c>
      <c r="O193">
        <v>1</v>
      </c>
      <c r="P193">
        <v>1</v>
      </c>
      <c r="Q193">
        <v>0</v>
      </c>
      <c r="R193">
        <v>0</v>
      </c>
    </row>
    <row r="194" spans="1:18">
      <c r="A194">
        <v>193</v>
      </c>
      <c r="B194">
        <v>9</v>
      </c>
      <c r="C194">
        <v>1</v>
      </c>
      <c r="D194">
        <v>4</v>
      </c>
      <c r="E194">
        <v>4</v>
      </c>
      <c r="F194">
        <v>1</v>
      </c>
      <c r="G194" t="s">
        <v>89</v>
      </c>
      <c r="H194">
        <v>1.5</v>
      </c>
      <c r="I194" s="2">
        <v>1</v>
      </c>
      <c r="J194" s="47">
        <v>3</v>
      </c>
      <c r="K194" t="s">
        <v>13</v>
      </c>
      <c r="L194">
        <v>2</v>
      </c>
      <c r="M194" t="s">
        <v>13</v>
      </c>
      <c r="N194" s="56">
        <v>1</v>
      </c>
      <c r="O194">
        <v>1</v>
      </c>
      <c r="P194">
        <v>1</v>
      </c>
      <c r="Q194">
        <v>0</v>
      </c>
      <c r="R194">
        <v>0</v>
      </c>
    </row>
    <row r="195" spans="1:18">
      <c r="A195">
        <v>194</v>
      </c>
      <c r="B195">
        <v>9</v>
      </c>
      <c r="C195">
        <v>4</v>
      </c>
      <c r="D195">
        <v>4</v>
      </c>
      <c r="E195">
        <v>1</v>
      </c>
      <c r="F195">
        <v>0</v>
      </c>
      <c r="G195" t="s">
        <v>90</v>
      </c>
      <c r="H195">
        <v>1.5</v>
      </c>
      <c r="I195" s="2">
        <v>0.92025000000000001</v>
      </c>
      <c r="J195" s="47">
        <v>1</v>
      </c>
      <c r="K195" t="s">
        <v>5</v>
      </c>
      <c r="L195">
        <v>3</v>
      </c>
      <c r="M195" t="s">
        <v>13</v>
      </c>
      <c r="N195" s="56">
        <v>1</v>
      </c>
      <c r="O195">
        <v>1</v>
      </c>
      <c r="P195">
        <v>1</v>
      </c>
      <c r="Q195">
        <v>0</v>
      </c>
      <c r="R195">
        <v>0</v>
      </c>
    </row>
    <row r="196" spans="1:18">
      <c r="A196">
        <v>195</v>
      </c>
      <c r="B196">
        <v>9</v>
      </c>
      <c r="C196">
        <v>7</v>
      </c>
      <c r="D196">
        <v>4</v>
      </c>
      <c r="E196">
        <v>4</v>
      </c>
      <c r="F196">
        <v>1</v>
      </c>
      <c r="G196" t="s">
        <v>89</v>
      </c>
      <c r="H196">
        <v>1.63</v>
      </c>
      <c r="I196" s="2">
        <v>1.0382199999999999</v>
      </c>
      <c r="J196" s="47">
        <v>4</v>
      </c>
      <c r="K196" t="s">
        <v>44</v>
      </c>
      <c r="L196">
        <v>5</v>
      </c>
      <c r="M196" t="s">
        <v>31</v>
      </c>
      <c r="N196" s="56">
        <v>1</v>
      </c>
      <c r="O196">
        <v>1</v>
      </c>
      <c r="P196">
        <v>0</v>
      </c>
      <c r="Q196">
        <v>0</v>
      </c>
      <c r="R196">
        <v>1</v>
      </c>
    </row>
    <row r="197" spans="1:18">
      <c r="A197">
        <v>196</v>
      </c>
      <c r="B197">
        <v>9</v>
      </c>
      <c r="C197">
        <v>9</v>
      </c>
      <c r="D197">
        <v>4</v>
      </c>
      <c r="E197">
        <v>1</v>
      </c>
      <c r="F197">
        <v>0</v>
      </c>
      <c r="G197" t="s">
        <v>90</v>
      </c>
      <c r="H197">
        <v>1.55</v>
      </c>
      <c r="I197" s="2">
        <v>1.08392</v>
      </c>
      <c r="J197" s="47">
        <v>1</v>
      </c>
      <c r="K197" t="s">
        <v>45</v>
      </c>
      <c r="L197">
        <v>6</v>
      </c>
      <c r="M197" t="s">
        <v>36</v>
      </c>
      <c r="N197" s="56">
        <v>2</v>
      </c>
      <c r="O197">
        <v>1</v>
      </c>
      <c r="P197">
        <v>1</v>
      </c>
      <c r="Q197">
        <v>1</v>
      </c>
      <c r="R197">
        <v>0</v>
      </c>
    </row>
    <row r="198" spans="1:18">
      <c r="A198">
        <v>197</v>
      </c>
      <c r="B198">
        <v>9</v>
      </c>
      <c r="C198">
        <v>11</v>
      </c>
      <c r="D198">
        <v>4</v>
      </c>
      <c r="E198">
        <v>4</v>
      </c>
      <c r="F198">
        <v>1</v>
      </c>
      <c r="G198" t="s">
        <v>89</v>
      </c>
      <c r="H198">
        <v>1.5</v>
      </c>
      <c r="I198" s="2">
        <v>0.76141999999999999</v>
      </c>
      <c r="J198" s="47">
        <v>4</v>
      </c>
      <c r="K198" t="s">
        <v>36</v>
      </c>
      <c r="L198">
        <v>3</v>
      </c>
      <c r="M198" t="s">
        <v>36</v>
      </c>
      <c r="N198" s="56">
        <v>2</v>
      </c>
      <c r="O198">
        <v>1</v>
      </c>
      <c r="P198">
        <v>1</v>
      </c>
      <c r="Q198">
        <v>1</v>
      </c>
      <c r="R198">
        <v>0</v>
      </c>
    </row>
    <row r="199" spans="1:18">
      <c r="A199">
        <v>198</v>
      </c>
      <c r="B199">
        <v>9</v>
      </c>
      <c r="C199">
        <v>15</v>
      </c>
      <c r="D199">
        <v>4</v>
      </c>
      <c r="E199">
        <v>4</v>
      </c>
      <c r="F199">
        <v>1</v>
      </c>
      <c r="G199" t="s">
        <v>89</v>
      </c>
      <c r="H199">
        <v>2.02</v>
      </c>
      <c r="I199" s="2">
        <v>1.1038300000000001</v>
      </c>
      <c r="J199" s="47">
        <v>3</v>
      </c>
      <c r="K199" t="s">
        <v>26</v>
      </c>
      <c r="L199">
        <v>3</v>
      </c>
      <c r="M199" t="s">
        <v>38</v>
      </c>
      <c r="N199" s="56">
        <v>1</v>
      </c>
      <c r="O199">
        <v>1</v>
      </c>
      <c r="P199">
        <v>0</v>
      </c>
      <c r="Q199">
        <v>1</v>
      </c>
      <c r="R199">
        <v>0</v>
      </c>
    </row>
    <row r="200" spans="1:18">
      <c r="A200">
        <v>199</v>
      </c>
      <c r="B200">
        <v>9</v>
      </c>
      <c r="C200">
        <v>16</v>
      </c>
      <c r="D200">
        <v>4</v>
      </c>
      <c r="E200">
        <v>1</v>
      </c>
      <c r="F200">
        <v>0</v>
      </c>
      <c r="G200" t="s">
        <v>90</v>
      </c>
      <c r="H200">
        <v>1.79</v>
      </c>
      <c r="I200" s="2">
        <v>1.07186</v>
      </c>
      <c r="J200" s="47">
        <v>1</v>
      </c>
      <c r="K200" t="s">
        <v>46</v>
      </c>
      <c r="L200">
        <v>3</v>
      </c>
      <c r="M200" t="s">
        <v>46</v>
      </c>
      <c r="N200" s="56">
        <v>2</v>
      </c>
      <c r="O200">
        <v>1</v>
      </c>
      <c r="P200">
        <v>1</v>
      </c>
      <c r="Q200">
        <v>1</v>
      </c>
      <c r="R200">
        <v>0</v>
      </c>
    </row>
    <row r="201" spans="1:18">
      <c r="A201">
        <v>200</v>
      </c>
      <c r="B201">
        <v>9</v>
      </c>
      <c r="C201">
        <v>17</v>
      </c>
      <c r="D201">
        <v>1</v>
      </c>
      <c r="E201">
        <v>1</v>
      </c>
      <c r="F201">
        <v>1</v>
      </c>
      <c r="G201" t="s">
        <v>92</v>
      </c>
      <c r="H201">
        <v>1.68</v>
      </c>
      <c r="I201" s="2">
        <v>0.84</v>
      </c>
      <c r="J201" s="47">
        <v>5</v>
      </c>
      <c r="K201" t="s">
        <v>5</v>
      </c>
      <c r="L201">
        <v>3</v>
      </c>
      <c r="M201" t="s">
        <v>13</v>
      </c>
      <c r="N201" s="56">
        <v>1</v>
      </c>
      <c r="O201">
        <v>1</v>
      </c>
      <c r="P201">
        <v>1</v>
      </c>
      <c r="Q201">
        <v>0</v>
      </c>
      <c r="R201">
        <v>0</v>
      </c>
    </row>
    <row r="202" spans="1:18">
      <c r="A202">
        <v>201</v>
      </c>
      <c r="B202">
        <v>9</v>
      </c>
      <c r="C202">
        <v>18</v>
      </c>
      <c r="D202">
        <v>1</v>
      </c>
      <c r="E202">
        <v>1</v>
      </c>
      <c r="F202">
        <v>1</v>
      </c>
      <c r="G202" t="s">
        <v>92</v>
      </c>
      <c r="H202">
        <v>1.31</v>
      </c>
      <c r="I202" s="2">
        <v>0.68947000000000003</v>
      </c>
      <c r="J202" s="47">
        <v>2</v>
      </c>
      <c r="K202" t="s">
        <v>47</v>
      </c>
      <c r="L202">
        <v>5</v>
      </c>
      <c r="M202" t="s">
        <v>80</v>
      </c>
      <c r="N202" s="56">
        <v>3</v>
      </c>
      <c r="O202">
        <v>1</v>
      </c>
      <c r="P202">
        <v>1</v>
      </c>
      <c r="Q202">
        <v>0</v>
      </c>
      <c r="R202">
        <v>1</v>
      </c>
    </row>
    <row r="203" spans="1:18">
      <c r="A203">
        <v>202</v>
      </c>
      <c r="B203">
        <v>9</v>
      </c>
      <c r="C203">
        <v>19</v>
      </c>
      <c r="D203">
        <v>1</v>
      </c>
      <c r="E203">
        <v>1</v>
      </c>
      <c r="F203">
        <v>1</v>
      </c>
      <c r="G203" t="s">
        <v>92</v>
      </c>
      <c r="H203">
        <v>1.3</v>
      </c>
      <c r="I203" s="2">
        <v>0.69518999999999997</v>
      </c>
      <c r="J203" s="47">
        <v>5</v>
      </c>
      <c r="K203" t="s">
        <v>0</v>
      </c>
      <c r="L203">
        <v>2</v>
      </c>
      <c r="M203" t="s">
        <v>15</v>
      </c>
      <c r="N203" s="56">
        <v>0</v>
      </c>
      <c r="O203">
        <v>1</v>
      </c>
      <c r="P203">
        <v>0</v>
      </c>
      <c r="Q203">
        <v>0</v>
      </c>
      <c r="R203">
        <v>0</v>
      </c>
    </row>
    <row r="204" spans="1:18">
      <c r="A204">
        <v>203</v>
      </c>
      <c r="B204">
        <v>9</v>
      </c>
      <c r="C204">
        <v>23</v>
      </c>
      <c r="D204">
        <v>4</v>
      </c>
      <c r="E204">
        <v>4</v>
      </c>
      <c r="F204">
        <v>1</v>
      </c>
      <c r="G204" t="s">
        <v>89</v>
      </c>
      <c r="H204">
        <v>1.45</v>
      </c>
      <c r="I204" s="2">
        <v>0.85294000000000003</v>
      </c>
      <c r="J204" s="47">
        <v>2</v>
      </c>
      <c r="K204" t="s">
        <v>13</v>
      </c>
      <c r="L204">
        <v>2</v>
      </c>
      <c r="M204" t="s">
        <v>13</v>
      </c>
      <c r="N204" s="56">
        <v>1</v>
      </c>
      <c r="O204">
        <v>1</v>
      </c>
      <c r="P204">
        <v>1</v>
      </c>
      <c r="Q204">
        <v>0</v>
      </c>
      <c r="R204">
        <v>0</v>
      </c>
    </row>
    <row r="205" spans="1:18">
      <c r="A205">
        <v>204</v>
      </c>
      <c r="B205">
        <v>9</v>
      </c>
      <c r="C205">
        <v>24</v>
      </c>
      <c r="D205">
        <v>1</v>
      </c>
      <c r="E205">
        <v>1</v>
      </c>
      <c r="F205">
        <v>1</v>
      </c>
      <c r="G205" t="s">
        <v>92</v>
      </c>
      <c r="H205">
        <v>1.41</v>
      </c>
      <c r="I205" s="2">
        <v>0.71574000000000004</v>
      </c>
      <c r="J205" s="47">
        <v>5</v>
      </c>
      <c r="K205" t="s">
        <v>22</v>
      </c>
      <c r="L205">
        <v>4</v>
      </c>
      <c r="M205" t="s">
        <v>46</v>
      </c>
      <c r="N205" s="56">
        <v>2</v>
      </c>
      <c r="O205">
        <v>1</v>
      </c>
      <c r="P205">
        <v>1</v>
      </c>
      <c r="Q205">
        <v>1</v>
      </c>
      <c r="R205">
        <v>0</v>
      </c>
    </row>
    <row r="206" spans="1:18">
      <c r="A206">
        <v>205</v>
      </c>
      <c r="B206">
        <v>9</v>
      </c>
      <c r="C206">
        <v>26</v>
      </c>
      <c r="D206">
        <v>1</v>
      </c>
      <c r="E206">
        <v>1</v>
      </c>
      <c r="F206">
        <v>1</v>
      </c>
      <c r="G206" t="s">
        <v>92</v>
      </c>
      <c r="H206">
        <v>1.9</v>
      </c>
      <c r="I206" s="2">
        <v>0.98446</v>
      </c>
      <c r="J206" s="47">
        <v>5</v>
      </c>
      <c r="K206" t="s">
        <v>46</v>
      </c>
      <c r="L206">
        <v>3</v>
      </c>
      <c r="M206" t="s">
        <v>46</v>
      </c>
      <c r="N206" s="56">
        <v>2</v>
      </c>
      <c r="O206">
        <v>1</v>
      </c>
      <c r="P206">
        <v>1</v>
      </c>
      <c r="Q206">
        <v>1</v>
      </c>
      <c r="R206">
        <v>0</v>
      </c>
    </row>
    <row r="207" spans="1:18">
      <c r="A207">
        <v>206</v>
      </c>
      <c r="B207">
        <v>9</v>
      </c>
      <c r="C207">
        <v>27</v>
      </c>
      <c r="D207">
        <v>4</v>
      </c>
      <c r="E207">
        <v>1</v>
      </c>
      <c r="F207">
        <v>0</v>
      </c>
      <c r="G207" t="s">
        <v>90</v>
      </c>
      <c r="H207">
        <v>1.61</v>
      </c>
      <c r="I207" s="2">
        <v>1.1258699999999999</v>
      </c>
      <c r="J207" s="47">
        <v>2</v>
      </c>
      <c r="K207" t="s">
        <v>20</v>
      </c>
      <c r="L207">
        <v>4</v>
      </c>
      <c r="M207" t="s">
        <v>13</v>
      </c>
      <c r="N207" s="56">
        <v>1</v>
      </c>
      <c r="O207">
        <v>1</v>
      </c>
      <c r="P207">
        <v>1</v>
      </c>
      <c r="Q207">
        <v>0</v>
      </c>
      <c r="R207">
        <v>0</v>
      </c>
    </row>
    <row r="208" spans="1:18">
      <c r="A208">
        <v>207</v>
      </c>
      <c r="B208">
        <v>9</v>
      </c>
      <c r="C208">
        <v>28</v>
      </c>
      <c r="D208">
        <v>1</v>
      </c>
      <c r="E208">
        <v>4</v>
      </c>
      <c r="F208">
        <v>0</v>
      </c>
      <c r="G208" t="s">
        <v>91</v>
      </c>
      <c r="H208">
        <v>1.64</v>
      </c>
      <c r="I208" s="2">
        <v>0.87700999999999996</v>
      </c>
      <c r="J208" s="47">
        <v>4</v>
      </c>
      <c r="K208" t="s">
        <v>13</v>
      </c>
      <c r="L208">
        <v>2</v>
      </c>
      <c r="M208" t="s">
        <v>13</v>
      </c>
      <c r="N208" s="56">
        <v>1</v>
      </c>
      <c r="O208">
        <v>1</v>
      </c>
      <c r="P208">
        <v>1</v>
      </c>
      <c r="Q208">
        <v>0</v>
      </c>
      <c r="R208">
        <v>0</v>
      </c>
    </row>
    <row r="209" spans="1:18">
      <c r="A209">
        <v>208</v>
      </c>
      <c r="B209">
        <v>9</v>
      </c>
      <c r="C209">
        <v>29</v>
      </c>
      <c r="D209">
        <v>4</v>
      </c>
      <c r="E209">
        <v>1</v>
      </c>
      <c r="F209">
        <v>0</v>
      </c>
      <c r="G209" t="s">
        <v>90</v>
      </c>
      <c r="H209">
        <v>1.79</v>
      </c>
      <c r="I209" s="2">
        <v>1.07186</v>
      </c>
      <c r="J209" s="47">
        <v>5</v>
      </c>
      <c r="K209" t="s">
        <v>46</v>
      </c>
      <c r="L209">
        <v>3</v>
      </c>
      <c r="M209" t="s">
        <v>46</v>
      </c>
      <c r="N209" s="56">
        <v>2</v>
      </c>
      <c r="O209">
        <v>1</v>
      </c>
      <c r="P209">
        <v>1</v>
      </c>
      <c r="Q209">
        <v>1</v>
      </c>
      <c r="R209">
        <v>0</v>
      </c>
    </row>
    <row r="210" spans="1:18">
      <c r="A210">
        <v>209</v>
      </c>
      <c r="B210">
        <v>9</v>
      </c>
      <c r="C210">
        <v>30</v>
      </c>
      <c r="D210">
        <v>4</v>
      </c>
      <c r="E210">
        <v>4</v>
      </c>
      <c r="F210">
        <v>1</v>
      </c>
      <c r="G210" t="s">
        <v>89</v>
      </c>
      <c r="H210">
        <v>1.38</v>
      </c>
      <c r="I210" s="2">
        <v>0.81176000000000004</v>
      </c>
      <c r="J210" s="47">
        <v>4</v>
      </c>
      <c r="K210" t="s">
        <v>36</v>
      </c>
      <c r="L210">
        <v>3</v>
      </c>
      <c r="M210" t="s">
        <v>36</v>
      </c>
      <c r="N210" s="56">
        <v>2</v>
      </c>
      <c r="O210">
        <v>1</v>
      </c>
      <c r="P210">
        <v>1</v>
      </c>
      <c r="Q210">
        <v>1</v>
      </c>
      <c r="R210">
        <v>0</v>
      </c>
    </row>
    <row r="211" spans="1:18">
      <c r="A211">
        <v>210</v>
      </c>
      <c r="B211">
        <v>9</v>
      </c>
      <c r="C211">
        <v>34</v>
      </c>
      <c r="D211">
        <v>1</v>
      </c>
      <c r="E211">
        <v>1</v>
      </c>
      <c r="F211">
        <v>1</v>
      </c>
      <c r="G211" t="s">
        <v>92</v>
      </c>
      <c r="H211">
        <v>1.84</v>
      </c>
      <c r="I211" s="2">
        <v>0.88888999999999996</v>
      </c>
      <c r="J211" s="47">
        <v>5</v>
      </c>
      <c r="K211" t="s">
        <v>18</v>
      </c>
      <c r="L211">
        <v>3</v>
      </c>
      <c r="M211" t="s">
        <v>18</v>
      </c>
      <c r="N211" s="56">
        <v>2</v>
      </c>
      <c r="O211">
        <v>1</v>
      </c>
      <c r="P211">
        <v>1</v>
      </c>
      <c r="Q211">
        <v>0</v>
      </c>
      <c r="R211">
        <v>1</v>
      </c>
    </row>
    <row r="212" spans="1:18">
      <c r="A212">
        <v>211</v>
      </c>
      <c r="B212">
        <v>9</v>
      </c>
      <c r="C212">
        <v>35</v>
      </c>
      <c r="D212">
        <v>1</v>
      </c>
      <c r="E212">
        <v>1</v>
      </c>
      <c r="F212">
        <v>1</v>
      </c>
      <c r="G212" t="s">
        <v>92</v>
      </c>
      <c r="H212">
        <v>1.54</v>
      </c>
      <c r="I212" s="2">
        <v>0.82352999999999998</v>
      </c>
      <c r="J212" s="47">
        <v>3</v>
      </c>
      <c r="K212" t="s">
        <v>26</v>
      </c>
      <c r="L212">
        <v>3</v>
      </c>
      <c r="M212" t="s">
        <v>38</v>
      </c>
      <c r="N212" s="56">
        <v>1</v>
      </c>
      <c r="O212">
        <v>1</v>
      </c>
      <c r="P212">
        <v>0</v>
      </c>
      <c r="Q212">
        <v>1</v>
      </c>
      <c r="R212">
        <v>0</v>
      </c>
    </row>
    <row r="213" spans="1:18">
      <c r="A213">
        <v>212</v>
      </c>
      <c r="B213">
        <v>9</v>
      </c>
      <c r="C213">
        <v>36</v>
      </c>
      <c r="D213">
        <v>1</v>
      </c>
      <c r="E213">
        <v>1</v>
      </c>
      <c r="F213">
        <v>1</v>
      </c>
      <c r="G213" t="s">
        <v>92</v>
      </c>
      <c r="H213">
        <v>1.49</v>
      </c>
      <c r="I213" s="2">
        <v>0.79679</v>
      </c>
      <c r="J213" s="47">
        <v>5</v>
      </c>
      <c r="K213" t="s">
        <v>13</v>
      </c>
      <c r="L213">
        <v>2</v>
      </c>
      <c r="M213" t="s">
        <v>13</v>
      </c>
      <c r="N213" s="56">
        <v>1</v>
      </c>
      <c r="O213">
        <v>1</v>
      </c>
      <c r="P213">
        <v>1</v>
      </c>
      <c r="Q213">
        <v>0</v>
      </c>
      <c r="R213">
        <v>0</v>
      </c>
    </row>
    <row r="214" spans="1:18">
      <c r="A214">
        <v>213</v>
      </c>
      <c r="B214">
        <v>9</v>
      </c>
      <c r="C214">
        <v>37</v>
      </c>
      <c r="D214">
        <v>4</v>
      </c>
      <c r="E214">
        <v>4</v>
      </c>
      <c r="F214">
        <v>1</v>
      </c>
      <c r="G214" t="s">
        <v>89</v>
      </c>
      <c r="H214">
        <v>1.44</v>
      </c>
      <c r="I214" s="2">
        <v>0.81355999999999995</v>
      </c>
      <c r="J214" s="47">
        <v>5</v>
      </c>
      <c r="K214" t="s">
        <v>15</v>
      </c>
      <c r="L214">
        <v>1</v>
      </c>
      <c r="M214" t="s">
        <v>15</v>
      </c>
      <c r="N214" s="56">
        <v>0</v>
      </c>
      <c r="O214">
        <v>1</v>
      </c>
      <c r="P214">
        <v>0</v>
      </c>
      <c r="Q214">
        <v>0</v>
      </c>
      <c r="R214">
        <v>0</v>
      </c>
    </row>
    <row r="215" spans="1:18">
      <c r="A215">
        <v>214</v>
      </c>
      <c r="B215">
        <v>9</v>
      </c>
      <c r="C215">
        <v>39</v>
      </c>
      <c r="D215">
        <v>1</v>
      </c>
      <c r="E215">
        <v>1</v>
      </c>
      <c r="F215">
        <v>1</v>
      </c>
      <c r="G215" t="s">
        <v>92</v>
      </c>
      <c r="H215">
        <v>1.76</v>
      </c>
      <c r="I215" s="2">
        <v>0.94118000000000002</v>
      </c>
      <c r="J215" s="47">
        <v>3</v>
      </c>
      <c r="K215" t="s">
        <v>31</v>
      </c>
      <c r="L215">
        <v>2</v>
      </c>
      <c r="M215" t="s">
        <v>31</v>
      </c>
      <c r="N215" s="56">
        <v>1</v>
      </c>
      <c r="O215">
        <v>1</v>
      </c>
      <c r="P215">
        <v>0</v>
      </c>
      <c r="Q215">
        <v>0</v>
      </c>
      <c r="R215">
        <v>1</v>
      </c>
    </row>
    <row r="216" spans="1:18">
      <c r="A216">
        <v>215</v>
      </c>
      <c r="B216">
        <v>9</v>
      </c>
      <c r="C216">
        <v>41</v>
      </c>
      <c r="D216">
        <v>1</v>
      </c>
      <c r="E216">
        <v>4</v>
      </c>
      <c r="F216">
        <v>0</v>
      </c>
      <c r="G216" t="s">
        <v>91</v>
      </c>
      <c r="H216">
        <v>1.48</v>
      </c>
      <c r="I216" s="2">
        <v>0.80874000000000001</v>
      </c>
      <c r="J216" s="47">
        <v>1</v>
      </c>
      <c r="K216" t="s">
        <v>0</v>
      </c>
      <c r="L216">
        <v>2</v>
      </c>
      <c r="M216" t="s">
        <v>15</v>
      </c>
      <c r="N216" s="56">
        <v>0</v>
      </c>
      <c r="O216">
        <v>1</v>
      </c>
      <c r="P216">
        <v>0</v>
      </c>
      <c r="Q216">
        <v>0</v>
      </c>
      <c r="R216">
        <v>0</v>
      </c>
    </row>
    <row r="217" spans="1:18">
      <c r="A217">
        <v>216</v>
      </c>
      <c r="B217">
        <v>9</v>
      </c>
      <c r="C217">
        <v>42</v>
      </c>
      <c r="D217">
        <v>1</v>
      </c>
      <c r="E217">
        <v>1</v>
      </c>
      <c r="F217">
        <v>1</v>
      </c>
      <c r="G217" t="s">
        <v>92</v>
      </c>
      <c r="H217">
        <v>1.1000000000000001</v>
      </c>
      <c r="I217" s="2">
        <v>0.57894999999999996</v>
      </c>
      <c r="J217" s="47">
        <v>5</v>
      </c>
      <c r="K217" t="s">
        <v>38</v>
      </c>
      <c r="L217">
        <v>2</v>
      </c>
      <c r="M217" t="s">
        <v>38</v>
      </c>
      <c r="N217" s="56">
        <v>1</v>
      </c>
      <c r="O217">
        <v>1</v>
      </c>
      <c r="P217">
        <v>0</v>
      </c>
      <c r="Q217">
        <v>1</v>
      </c>
      <c r="R217">
        <v>0</v>
      </c>
    </row>
    <row r="218" spans="1:18">
      <c r="A218">
        <v>217</v>
      </c>
      <c r="B218">
        <v>10</v>
      </c>
      <c r="C218">
        <v>1</v>
      </c>
      <c r="D218">
        <v>4</v>
      </c>
      <c r="E218">
        <v>1</v>
      </c>
      <c r="F218">
        <v>0</v>
      </c>
      <c r="G218" t="s">
        <v>90</v>
      </c>
      <c r="H218">
        <v>1.47</v>
      </c>
      <c r="I218" s="2">
        <v>0.98</v>
      </c>
      <c r="J218" s="47">
        <v>2</v>
      </c>
      <c r="K218" t="s">
        <v>48</v>
      </c>
      <c r="L218">
        <v>4</v>
      </c>
      <c r="M218" t="s">
        <v>48</v>
      </c>
      <c r="N218" s="56">
        <v>3</v>
      </c>
      <c r="O218">
        <v>1</v>
      </c>
      <c r="P218">
        <v>1</v>
      </c>
      <c r="Q218">
        <v>1</v>
      </c>
      <c r="R218">
        <v>1</v>
      </c>
    </row>
    <row r="219" spans="1:18">
      <c r="A219">
        <v>218</v>
      </c>
      <c r="B219">
        <v>10</v>
      </c>
      <c r="C219">
        <v>4</v>
      </c>
      <c r="D219">
        <v>4</v>
      </c>
      <c r="E219">
        <v>1</v>
      </c>
      <c r="F219">
        <v>0</v>
      </c>
      <c r="G219" t="s">
        <v>90</v>
      </c>
      <c r="H219">
        <v>1.52</v>
      </c>
      <c r="I219" s="2">
        <v>0.93252000000000002</v>
      </c>
      <c r="J219" s="47">
        <v>3</v>
      </c>
      <c r="K219" t="s">
        <v>24</v>
      </c>
      <c r="L219">
        <v>3</v>
      </c>
      <c r="M219" t="s">
        <v>31</v>
      </c>
      <c r="N219" s="56">
        <v>1</v>
      </c>
      <c r="O219">
        <v>1</v>
      </c>
      <c r="P219">
        <v>0</v>
      </c>
      <c r="Q219">
        <v>0</v>
      </c>
      <c r="R219">
        <v>1</v>
      </c>
    </row>
    <row r="220" spans="1:18">
      <c r="A220">
        <v>219</v>
      </c>
      <c r="B220">
        <v>10</v>
      </c>
      <c r="C220">
        <v>7</v>
      </c>
      <c r="D220">
        <v>4</v>
      </c>
      <c r="E220">
        <v>4</v>
      </c>
      <c r="F220">
        <v>1</v>
      </c>
      <c r="G220" t="s">
        <v>89</v>
      </c>
      <c r="H220">
        <v>1.73</v>
      </c>
      <c r="I220" s="2">
        <v>1.1019099999999999</v>
      </c>
      <c r="J220" s="47">
        <v>3</v>
      </c>
      <c r="K220" t="s">
        <v>45</v>
      </c>
      <c r="L220">
        <v>6</v>
      </c>
      <c r="M220" t="s">
        <v>36</v>
      </c>
      <c r="N220" s="56">
        <v>2</v>
      </c>
      <c r="O220">
        <v>1</v>
      </c>
      <c r="P220">
        <v>1</v>
      </c>
      <c r="Q220">
        <v>1</v>
      </c>
      <c r="R220">
        <v>0</v>
      </c>
    </row>
    <row r="221" spans="1:18">
      <c r="A221">
        <v>220</v>
      </c>
      <c r="B221">
        <v>10</v>
      </c>
      <c r="C221">
        <v>9</v>
      </c>
      <c r="D221">
        <v>4</v>
      </c>
      <c r="E221">
        <v>1</v>
      </c>
      <c r="F221">
        <v>0</v>
      </c>
      <c r="G221" t="s">
        <v>90</v>
      </c>
      <c r="H221">
        <v>1.34</v>
      </c>
      <c r="I221" s="2">
        <v>0.93706</v>
      </c>
      <c r="J221" s="47">
        <v>3</v>
      </c>
      <c r="K221" t="s">
        <v>26</v>
      </c>
      <c r="L221">
        <v>3</v>
      </c>
      <c r="M221" t="s">
        <v>38</v>
      </c>
      <c r="N221" s="56">
        <v>1</v>
      </c>
      <c r="O221">
        <v>1</v>
      </c>
      <c r="P221">
        <v>0</v>
      </c>
      <c r="Q221">
        <v>1</v>
      </c>
      <c r="R221">
        <v>0</v>
      </c>
    </row>
    <row r="222" spans="1:18">
      <c r="A222">
        <v>221</v>
      </c>
      <c r="B222">
        <v>10</v>
      </c>
      <c r="C222">
        <v>11</v>
      </c>
      <c r="D222">
        <v>4</v>
      </c>
      <c r="E222">
        <v>4</v>
      </c>
      <c r="F222">
        <v>1</v>
      </c>
      <c r="G222" t="s">
        <v>89</v>
      </c>
      <c r="H222">
        <v>1.59</v>
      </c>
      <c r="I222" s="2">
        <v>0.80710999999999999</v>
      </c>
      <c r="J222" s="47">
        <v>4</v>
      </c>
      <c r="K222" t="s">
        <v>23</v>
      </c>
      <c r="L222">
        <v>3</v>
      </c>
      <c r="M222" t="s">
        <v>23</v>
      </c>
      <c r="N222" s="56">
        <v>2</v>
      </c>
      <c r="O222">
        <v>1</v>
      </c>
      <c r="P222">
        <v>1</v>
      </c>
      <c r="Q222">
        <v>0</v>
      </c>
      <c r="R222">
        <v>1</v>
      </c>
    </row>
    <row r="223" spans="1:18">
      <c r="A223">
        <v>222</v>
      </c>
      <c r="B223">
        <v>10</v>
      </c>
      <c r="C223">
        <v>15</v>
      </c>
      <c r="D223">
        <v>4</v>
      </c>
      <c r="E223">
        <v>4</v>
      </c>
      <c r="F223">
        <v>1</v>
      </c>
      <c r="G223" t="s">
        <v>89</v>
      </c>
      <c r="H223">
        <v>1.65</v>
      </c>
      <c r="I223" s="2">
        <v>0.90164</v>
      </c>
      <c r="J223" s="47">
        <v>4</v>
      </c>
      <c r="K223" t="s">
        <v>33</v>
      </c>
      <c r="L223">
        <v>2</v>
      </c>
      <c r="M223" t="s">
        <v>33</v>
      </c>
      <c r="N223" s="56">
        <v>1</v>
      </c>
      <c r="O223">
        <v>1</v>
      </c>
      <c r="P223">
        <v>0</v>
      </c>
      <c r="Q223">
        <v>0</v>
      </c>
      <c r="R223">
        <v>1</v>
      </c>
    </row>
    <row r="224" spans="1:18">
      <c r="A224">
        <v>223</v>
      </c>
      <c r="B224">
        <v>10</v>
      </c>
      <c r="C224">
        <v>16</v>
      </c>
      <c r="D224">
        <v>4</v>
      </c>
      <c r="E224">
        <v>1</v>
      </c>
      <c r="F224">
        <v>0</v>
      </c>
      <c r="G224" t="s">
        <v>90</v>
      </c>
      <c r="H224">
        <v>1.84</v>
      </c>
      <c r="I224" s="2">
        <v>1.1017999999999999</v>
      </c>
      <c r="J224" s="47">
        <v>4</v>
      </c>
      <c r="K224" t="s">
        <v>13</v>
      </c>
      <c r="L224">
        <v>2</v>
      </c>
      <c r="M224" t="s">
        <v>13</v>
      </c>
      <c r="N224" s="56">
        <v>1</v>
      </c>
      <c r="O224">
        <v>1</v>
      </c>
      <c r="P224">
        <v>1</v>
      </c>
      <c r="Q224">
        <v>0</v>
      </c>
      <c r="R224">
        <v>0</v>
      </c>
    </row>
    <row r="225" spans="1:18">
      <c r="A225">
        <v>224</v>
      </c>
      <c r="B225">
        <v>10</v>
      </c>
      <c r="C225">
        <v>17</v>
      </c>
      <c r="D225">
        <v>1</v>
      </c>
      <c r="E225">
        <v>4</v>
      </c>
      <c r="F225">
        <v>0</v>
      </c>
      <c r="G225" t="s">
        <v>91</v>
      </c>
      <c r="H225">
        <v>1.8</v>
      </c>
      <c r="I225" s="2">
        <v>0.9</v>
      </c>
      <c r="J225" s="47">
        <v>3</v>
      </c>
      <c r="K225" t="s">
        <v>49</v>
      </c>
      <c r="L225">
        <v>3</v>
      </c>
      <c r="M225" t="s">
        <v>9</v>
      </c>
      <c r="N225" s="56">
        <v>1</v>
      </c>
      <c r="O225">
        <v>0</v>
      </c>
      <c r="P225">
        <v>1</v>
      </c>
      <c r="Q225">
        <v>0</v>
      </c>
      <c r="R225">
        <v>1</v>
      </c>
    </row>
    <row r="226" spans="1:18">
      <c r="A226">
        <v>225</v>
      </c>
      <c r="B226">
        <v>10</v>
      </c>
      <c r="C226">
        <v>18</v>
      </c>
      <c r="D226">
        <v>1</v>
      </c>
      <c r="E226">
        <v>1</v>
      </c>
      <c r="F226">
        <v>1</v>
      </c>
      <c r="G226" t="s">
        <v>92</v>
      </c>
      <c r="H226">
        <v>1.71</v>
      </c>
      <c r="I226" s="2">
        <v>0.9</v>
      </c>
      <c r="J226" s="47">
        <v>4</v>
      </c>
      <c r="K226" t="s">
        <v>50</v>
      </c>
      <c r="L226">
        <v>4</v>
      </c>
      <c r="M226" t="s">
        <v>36</v>
      </c>
      <c r="N226" s="56">
        <v>2</v>
      </c>
      <c r="O226">
        <v>1</v>
      </c>
      <c r="P226">
        <v>1</v>
      </c>
      <c r="Q226">
        <v>1</v>
      </c>
      <c r="R226">
        <v>0</v>
      </c>
    </row>
    <row r="227" spans="1:18">
      <c r="A227">
        <v>226</v>
      </c>
      <c r="B227">
        <v>10</v>
      </c>
      <c r="C227">
        <v>19</v>
      </c>
      <c r="D227">
        <v>1</v>
      </c>
      <c r="E227">
        <v>1</v>
      </c>
      <c r="F227">
        <v>1</v>
      </c>
      <c r="G227" t="s">
        <v>92</v>
      </c>
      <c r="H227">
        <v>1.41</v>
      </c>
      <c r="I227" s="2">
        <v>0.75400999999999996</v>
      </c>
      <c r="J227" s="47">
        <v>5</v>
      </c>
      <c r="K227" t="s">
        <v>51</v>
      </c>
      <c r="L227">
        <v>4</v>
      </c>
      <c r="M227" t="s">
        <v>85</v>
      </c>
      <c r="N227" s="56">
        <v>2</v>
      </c>
      <c r="O227">
        <v>1</v>
      </c>
      <c r="P227">
        <v>0</v>
      </c>
      <c r="Q227">
        <v>1</v>
      </c>
      <c r="R227">
        <v>1</v>
      </c>
    </row>
    <row r="228" spans="1:18">
      <c r="A228">
        <v>227</v>
      </c>
      <c r="B228">
        <v>10</v>
      </c>
      <c r="C228">
        <v>23</v>
      </c>
      <c r="D228">
        <v>4</v>
      </c>
      <c r="E228">
        <v>1</v>
      </c>
      <c r="F228">
        <v>0</v>
      </c>
      <c r="G228" t="s">
        <v>90</v>
      </c>
      <c r="H228">
        <v>1.44</v>
      </c>
      <c r="I228" s="2">
        <v>0.84706000000000004</v>
      </c>
      <c r="J228" s="47">
        <v>2</v>
      </c>
      <c r="K228" t="s">
        <v>36</v>
      </c>
      <c r="L228">
        <v>3</v>
      </c>
      <c r="M228" t="s">
        <v>36</v>
      </c>
      <c r="N228" s="56">
        <v>2</v>
      </c>
      <c r="O228">
        <v>1</v>
      </c>
      <c r="P228">
        <v>1</v>
      </c>
      <c r="Q228">
        <v>1</v>
      </c>
      <c r="R228">
        <v>0</v>
      </c>
    </row>
    <row r="229" spans="1:18">
      <c r="A229">
        <v>228</v>
      </c>
      <c r="B229">
        <v>10</v>
      </c>
      <c r="C229">
        <v>24</v>
      </c>
      <c r="D229">
        <v>1</v>
      </c>
      <c r="E229">
        <v>1</v>
      </c>
      <c r="F229">
        <v>1</v>
      </c>
      <c r="G229" t="s">
        <v>92</v>
      </c>
      <c r="H229">
        <v>1.57</v>
      </c>
      <c r="I229" s="2">
        <v>0.79695000000000005</v>
      </c>
      <c r="J229" s="47">
        <v>5</v>
      </c>
      <c r="K229" t="s">
        <v>17</v>
      </c>
      <c r="L229">
        <v>4</v>
      </c>
      <c r="M229" t="s">
        <v>17</v>
      </c>
      <c r="N229" s="56">
        <v>3</v>
      </c>
      <c r="O229">
        <v>1</v>
      </c>
      <c r="P229">
        <v>0</v>
      </c>
      <c r="Q229">
        <v>1</v>
      </c>
      <c r="R229">
        <v>0</v>
      </c>
    </row>
    <row r="230" spans="1:18">
      <c r="A230">
        <v>229</v>
      </c>
      <c r="B230">
        <v>10</v>
      </c>
      <c r="C230">
        <v>26</v>
      </c>
      <c r="D230">
        <v>1</v>
      </c>
      <c r="E230">
        <v>1</v>
      </c>
      <c r="F230">
        <v>1</v>
      </c>
      <c r="G230" t="s">
        <v>92</v>
      </c>
      <c r="H230">
        <v>1.51</v>
      </c>
      <c r="I230" s="2">
        <v>0.78237999999999996</v>
      </c>
      <c r="J230" s="47">
        <v>5</v>
      </c>
      <c r="K230" t="s">
        <v>35</v>
      </c>
      <c r="L230">
        <v>4</v>
      </c>
      <c r="M230" t="s">
        <v>36</v>
      </c>
      <c r="N230" s="56">
        <v>2</v>
      </c>
      <c r="O230">
        <v>1</v>
      </c>
      <c r="P230">
        <v>1</v>
      </c>
      <c r="Q230">
        <v>1</v>
      </c>
      <c r="R230">
        <v>0</v>
      </c>
    </row>
    <row r="231" spans="1:18">
      <c r="A231">
        <v>230</v>
      </c>
      <c r="B231">
        <v>10</v>
      </c>
      <c r="C231">
        <v>27</v>
      </c>
      <c r="D231">
        <v>4</v>
      </c>
      <c r="E231">
        <v>1</v>
      </c>
      <c r="F231">
        <v>0</v>
      </c>
      <c r="G231" t="s">
        <v>90</v>
      </c>
      <c r="H231">
        <v>1.46</v>
      </c>
      <c r="I231" s="2">
        <v>1.02098</v>
      </c>
      <c r="J231" s="47">
        <v>3</v>
      </c>
      <c r="K231" t="s">
        <v>26</v>
      </c>
      <c r="L231">
        <v>3</v>
      </c>
      <c r="M231" t="s">
        <v>38</v>
      </c>
      <c r="N231" s="56">
        <v>1</v>
      </c>
      <c r="O231">
        <v>1</v>
      </c>
      <c r="P231">
        <v>0</v>
      </c>
      <c r="Q231">
        <v>1</v>
      </c>
      <c r="R231">
        <v>0</v>
      </c>
    </row>
    <row r="232" spans="1:18">
      <c r="A232">
        <v>231</v>
      </c>
      <c r="B232">
        <v>10</v>
      </c>
      <c r="C232">
        <v>28</v>
      </c>
      <c r="D232">
        <v>1</v>
      </c>
      <c r="E232">
        <v>1</v>
      </c>
      <c r="F232">
        <v>1</v>
      </c>
      <c r="G232" t="s">
        <v>92</v>
      </c>
      <c r="H232">
        <v>1.69</v>
      </c>
      <c r="I232" s="2">
        <v>0.90373999999999999</v>
      </c>
      <c r="J232" s="47">
        <v>3</v>
      </c>
      <c r="K232" t="s">
        <v>35</v>
      </c>
      <c r="L232">
        <v>4</v>
      </c>
      <c r="M232" t="s">
        <v>36</v>
      </c>
      <c r="N232" s="56">
        <v>2</v>
      </c>
      <c r="O232">
        <v>1</v>
      </c>
      <c r="P232">
        <v>1</v>
      </c>
      <c r="Q232">
        <v>1</v>
      </c>
      <c r="R232">
        <v>0</v>
      </c>
    </row>
    <row r="233" spans="1:18">
      <c r="A233">
        <v>232</v>
      </c>
      <c r="B233">
        <v>10</v>
      </c>
      <c r="C233">
        <v>29</v>
      </c>
      <c r="D233">
        <v>4</v>
      </c>
      <c r="E233">
        <v>1</v>
      </c>
      <c r="F233">
        <v>0</v>
      </c>
      <c r="G233" t="s">
        <v>90</v>
      </c>
      <c r="H233">
        <v>1.31</v>
      </c>
      <c r="I233" s="2">
        <v>0.78442999999999996</v>
      </c>
      <c r="J233" s="47">
        <v>4</v>
      </c>
      <c r="K233" t="s">
        <v>31</v>
      </c>
      <c r="L233">
        <v>2</v>
      </c>
      <c r="M233" t="s">
        <v>31</v>
      </c>
      <c r="N233" s="56">
        <v>1</v>
      </c>
      <c r="O233">
        <v>1</v>
      </c>
      <c r="P233">
        <v>0</v>
      </c>
      <c r="Q233">
        <v>0</v>
      </c>
      <c r="R233">
        <v>1</v>
      </c>
    </row>
    <row r="234" spans="1:18">
      <c r="A234">
        <v>233</v>
      </c>
      <c r="B234">
        <v>10</v>
      </c>
      <c r="C234">
        <v>30</v>
      </c>
      <c r="D234">
        <v>4</v>
      </c>
      <c r="E234">
        <v>4</v>
      </c>
      <c r="F234">
        <v>1</v>
      </c>
      <c r="G234" t="s">
        <v>89</v>
      </c>
      <c r="H234">
        <v>1.59</v>
      </c>
      <c r="I234" s="2">
        <v>0.93528999999999995</v>
      </c>
      <c r="J234" s="47">
        <v>4</v>
      </c>
      <c r="K234" t="s">
        <v>52</v>
      </c>
      <c r="L234">
        <v>4</v>
      </c>
      <c r="M234" t="s">
        <v>52</v>
      </c>
      <c r="N234" s="56">
        <v>3</v>
      </c>
      <c r="O234">
        <v>1</v>
      </c>
      <c r="P234">
        <v>1</v>
      </c>
      <c r="Q234">
        <v>0</v>
      </c>
      <c r="R234">
        <v>1</v>
      </c>
    </row>
    <row r="235" spans="1:18">
      <c r="A235">
        <v>234</v>
      </c>
      <c r="B235">
        <v>10</v>
      </c>
      <c r="C235">
        <v>34</v>
      </c>
      <c r="D235">
        <v>1</v>
      </c>
      <c r="E235">
        <v>1</v>
      </c>
      <c r="F235">
        <v>1</v>
      </c>
      <c r="G235" t="s">
        <v>92</v>
      </c>
      <c r="H235">
        <v>1.8</v>
      </c>
      <c r="I235" s="2">
        <v>0.86956999999999995</v>
      </c>
      <c r="J235" s="47">
        <v>5</v>
      </c>
      <c r="K235" t="s">
        <v>26</v>
      </c>
      <c r="L235">
        <v>3</v>
      </c>
      <c r="M235" t="s">
        <v>38</v>
      </c>
      <c r="N235" s="56">
        <v>1</v>
      </c>
      <c r="O235">
        <v>1</v>
      </c>
      <c r="P235">
        <v>0</v>
      </c>
      <c r="Q235">
        <v>1</v>
      </c>
      <c r="R235">
        <v>0</v>
      </c>
    </row>
    <row r="236" spans="1:18">
      <c r="A236">
        <v>235</v>
      </c>
      <c r="B236">
        <v>10</v>
      </c>
      <c r="C236">
        <v>35</v>
      </c>
      <c r="D236">
        <v>1</v>
      </c>
      <c r="E236">
        <v>1</v>
      </c>
      <c r="F236">
        <v>1</v>
      </c>
      <c r="G236" t="s">
        <v>92</v>
      </c>
      <c r="H236">
        <v>1.44</v>
      </c>
      <c r="I236" s="2">
        <v>0.77005000000000001</v>
      </c>
      <c r="J236" s="47">
        <v>4</v>
      </c>
      <c r="K236" t="s">
        <v>48</v>
      </c>
      <c r="L236">
        <v>4</v>
      </c>
      <c r="M236" t="s">
        <v>48</v>
      </c>
      <c r="N236" s="56">
        <v>3</v>
      </c>
      <c r="O236">
        <v>1</v>
      </c>
      <c r="P236">
        <v>1</v>
      </c>
      <c r="Q236">
        <v>1</v>
      </c>
      <c r="R236">
        <v>1</v>
      </c>
    </row>
    <row r="237" spans="1:18">
      <c r="A237">
        <v>236</v>
      </c>
      <c r="B237">
        <v>10</v>
      </c>
      <c r="C237">
        <v>36</v>
      </c>
      <c r="D237">
        <v>1</v>
      </c>
      <c r="E237">
        <v>1</v>
      </c>
      <c r="F237">
        <v>1</v>
      </c>
      <c r="G237" t="s">
        <v>92</v>
      </c>
      <c r="H237">
        <v>1.2</v>
      </c>
      <c r="I237" s="2">
        <v>0.64171</v>
      </c>
      <c r="J237" s="47">
        <v>5</v>
      </c>
      <c r="K237" t="s">
        <v>26</v>
      </c>
      <c r="L237">
        <v>3</v>
      </c>
      <c r="M237" t="s">
        <v>38</v>
      </c>
      <c r="N237" s="56">
        <v>1</v>
      </c>
      <c r="O237">
        <v>1</v>
      </c>
      <c r="P237">
        <v>0</v>
      </c>
      <c r="Q237">
        <v>1</v>
      </c>
      <c r="R237">
        <v>0</v>
      </c>
    </row>
    <row r="238" spans="1:18">
      <c r="A238">
        <v>237</v>
      </c>
      <c r="B238">
        <v>10</v>
      </c>
      <c r="C238">
        <v>37</v>
      </c>
      <c r="D238">
        <v>4</v>
      </c>
      <c r="E238">
        <v>4</v>
      </c>
      <c r="F238">
        <v>1</v>
      </c>
      <c r="G238" t="s">
        <v>89</v>
      </c>
      <c r="H238">
        <v>1.33</v>
      </c>
      <c r="I238" s="2">
        <v>0.75141000000000002</v>
      </c>
      <c r="J238" s="47">
        <v>4</v>
      </c>
      <c r="K238" t="s">
        <v>0</v>
      </c>
      <c r="L238">
        <v>2</v>
      </c>
      <c r="M238" t="s">
        <v>15</v>
      </c>
      <c r="N238" s="56">
        <v>0</v>
      </c>
      <c r="O238">
        <v>1</v>
      </c>
      <c r="P238">
        <v>0</v>
      </c>
      <c r="Q238">
        <v>0</v>
      </c>
      <c r="R238">
        <v>0</v>
      </c>
    </row>
    <row r="239" spans="1:18">
      <c r="A239">
        <v>238</v>
      </c>
      <c r="B239">
        <v>10</v>
      </c>
      <c r="C239">
        <v>39</v>
      </c>
      <c r="D239">
        <v>1</v>
      </c>
      <c r="E239">
        <v>4</v>
      </c>
      <c r="F239">
        <v>0</v>
      </c>
      <c r="G239" t="s">
        <v>91</v>
      </c>
      <c r="H239">
        <v>1.55</v>
      </c>
      <c r="I239" s="2">
        <v>0.82887999999999995</v>
      </c>
      <c r="J239" s="47">
        <v>3</v>
      </c>
      <c r="K239" t="s">
        <v>13</v>
      </c>
      <c r="L239">
        <v>2</v>
      </c>
      <c r="M239" t="s">
        <v>13</v>
      </c>
      <c r="N239" s="56">
        <v>1</v>
      </c>
      <c r="O239">
        <v>1</v>
      </c>
      <c r="P239">
        <v>1</v>
      </c>
      <c r="Q239">
        <v>0</v>
      </c>
      <c r="R239">
        <v>0</v>
      </c>
    </row>
    <row r="240" spans="1:18">
      <c r="A240">
        <v>239</v>
      </c>
      <c r="B240">
        <v>10</v>
      </c>
      <c r="C240">
        <v>41</v>
      </c>
      <c r="D240">
        <v>1</v>
      </c>
      <c r="E240">
        <v>1</v>
      </c>
      <c r="F240">
        <v>1</v>
      </c>
      <c r="G240" t="s">
        <v>92</v>
      </c>
      <c r="H240">
        <v>1.57</v>
      </c>
      <c r="I240" s="2">
        <v>0.85792000000000002</v>
      </c>
      <c r="J240" s="47">
        <v>4</v>
      </c>
      <c r="K240" t="s">
        <v>2</v>
      </c>
      <c r="L240">
        <v>3</v>
      </c>
      <c r="M240" t="s">
        <v>15</v>
      </c>
      <c r="N240" s="56">
        <v>0</v>
      </c>
      <c r="O240">
        <v>1</v>
      </c>
      <c r="P240">
        <v>0</v>
      </c>
      <c r="Q240">
        <v>0</v>
      </c>
      <c r="R240">
        <v>0</v>
      </c>
    </row>
    <row r="241" spans="1:18">
      <c r="A241">
        <v>240</v>
      </c>
      <c r="B241">
        <v>10</v>
      </c>
      <c r="C241">
        <v>42</v>
      </c>
      <c r="D241">
        <v>1</v>
      </c>
      <c r="E241">
        <v>1</v>
      </c>
      <c r="F241">
        <v>1</v>
      </c>
      <c r="G241" t="s">
        <v>92</v>
      </c>
      <c r="H241">
        <v>1.42</v>
      </c>
      <c r="I241" s="2">
        <v>0.74736999999999998</v>
      </c>
      <c r="J241" s="47">
        <v>5</v>
      </c>
      <c r="K241" t="s">
        <v>48</v>
      </c>
      <c r="L241">
        <v>4</v>
      </c>
      <c r="M241" t="s">
        <v>48</v>
      </c>
      <c r="N241" s="56">
        <v>3</v>
      </c>
      <c r="O241">
        <v>1</v>
      </c>
      <c r="P241">
        <v>1</v>
      </c>
      <c r="Q241">
        <v>1</v>
      </c>
      <c r="R241">
        <v>1</v>
      </c>
    </row>
    <row r="242" spans="1:18">
      <c r="A242">
        <v>241</v>
      </c>
      <c r="B242">
        <v>11</v>
      </c>
      <c r="C242">
        <v>1</v>
      </c>
      <c r="D242">
        <v>4</v>
      </c>
      <c r="E242">
        <v>4</v>
      </c>
      <c r="F242">
        <v>1</v>
      </c>
      <c r="G242" t="s">
        <v>89</v>
      </c>
      <c r="H242">
        <v>1.29</v>
      </c>
      <c r="I242" s="2">
        <v>0.86</v>
      </c>
      <c r="J242" s="47">
        <v>5</v>
      </c>
      <c r="K242" t="s">
        <v>2</v>
      </c>
      <c r="L242">
        <v>3</v>
      </c>
      <c r="M242" t="s">
        <v>15</v>
      </c>
      <c r="N242" s="56">
        <v>0</v>
      </c>
      <c r="O242">
        <v>1</v>
      </c>
      <c r="P242">
        <v>0</v>
      </c>
      <c r="Q242">
        <v>0</v>
      </c>
      <c r="R242">
        <v>0</v>
      </c>
    </row>
    <row r="243" spans="1:18">
      <c r="A243">
        <v>242</v>
      </c>
      <c r="B243">
        <v>11</v>
      </c>
      <c r="C243">
        <v>4</v>
      </c>
      <c r="D243">
        <v>4</v>
      </c>
      <c r="E243">
        <v>4</v>
      </c>
      <c r="F243">
        <v>1</v>
      </c>
      <c r="G243" t="s">
        <v>89</v>
      </c>
      <c r="H243">
        <v>1.33</v>
      </c>
      <c r="I243" s="2">
        <v>0.81594999999999995</v>
      </c>
      <c r="J243" s="47">
        <v>5</v>
      </c>
      <c r="K243" t="s">
        <v>53</v>
      </c>
      <c r="L243">
        <v>4</v>
      </c>
      <c r="M243" t="s">
        <v>15</v>
      </c>
      <c r="N243" s="56">
        <v>0</v>
      </c>
      <c r="O243">
        <v>1</v>
      </c>
      <c r="P243">
        <v>0</v>
      </c>
      <c r="Q243">
        <v>0</v>
      </c>
      <c r="R243">
        <v>0</v>
      </c>
    </row>
    <row r="244" spans="1:18">
      <c r="A244">
        <v>243</v>
      </c>
      <c r="B244">
        <v>11</v>
      </c>
      <c r="C244">
        <v>7</v>
      </c>
      <c r="D244">
        <v>4</v>
      </c>
      <c r="E244">
        <v>4</v>
      </c>
      <c r="F244">
        <v>1</v>
      </c>
      <c r="G244" t="s">
        <v>89</v>
      </c>
      <c r="H244">
        <v>1.81</v>
      </c>
      <c r="I244" s="2">
        <v>1.1528700000000001</v>
      </c>
      <c r="J244" s="47">
        <v>3</v>
      </c>
      <c r="K244" t="s">
        <v>54</v>
      </c>
      <c r="L244">
        <v>5</v>
      </c>
      <c r="M244" t="s">
        <v>31</v>
      </c>
      <c r="N244" s="56">
        <v>1</v>
      </c>
      <c r="O244">
        <v>1</v>
      </c>
      <c r="P244">
        <v>0</v>
      </c>
      <c r="Q244">
        <v>0</v>
      </c>
      <c r="R244">
        <v>1</v>
      </c>
    </row>
    <row r="245" spans="1:18">
      <c r="A245">
        <v>244</v>
      </c>
      <c r="B245">
        <v>11</v>
      </c>
      <c r="C245">
        <v>9</v>
      </c>
      <c r="D245">
        <v>4</v>
      </c>
      <c r="E245">
        <v>1</v>
      </c>
      <c r="F245">
        <v>0</v>
      </c>
      <c r="G245" t="s">
        <v>90</v>
      </c>
      <c r="H245">
        <v>0.95</v>
      </c>
      <c r="I245" s="2">
        <v>0.66434000000000004</v>
      </c>
      <c r="J245" s="47">
        <v>1</v>
      </c>
      <c r="K245" t="s">
        <v>2</v>
      </c>
      <c r="L245">
        <v>3</v>
      </c>
      <c r="M245" t="s">
        <v>15</v>
      </c>
      <c r="N245" s="56">
        <v>0</v>
      </c>
      <c r="O245">
        <v>1</v>
      </c>
      <c r="P245">
        <v>0</v>
      </c>
      <c r="Q245">
        <v>0</v>
      </c>
      <c r="R245">
        <v>0</v>
      </c>
    </row>
    <row r="246" spans="1:18">
      <c r="A246">
        <v>245</v>
      </c>
      <c r="B246">
        <v>11</v>
      </c>
      <c r="C246">
        <v>11</v>
      </c>
      <c r="D246">
        <v>4</v>
      </c>
      <c r="E246">
        <v>4</v>
      </c>
      <c r="F246">
        <v>1</v>
      </c>
      <c r="G246" t="s">
        <v>89</v>
      </c>
      <c r="H246">
        <v>1.54</v>
      </c>
      <c r="I246" s="2">
        <v>0.78173000000000004</v>
      </c>
      <c r="J246" s="47">
        <v>5</v>
      </c>
      <c r="K246" t="s">
        <v>0</v>
      </c>
      <c r="L246">
        <v>2</v>
      </c>
      <c r="M246" t="s">
        <v>15</v>
      </c>
      <c r="N246" s="56">
        <v>0</v>
      </c>
      <c r="O246">
        <v>1</v>
      </c>
      <c r="P246">
        <v>0</v>
      </c>
      <c r="Q246">
        <v>0</v>
      </c>
      <c r="R246">
        <v>0</v>
      </c>
    </row>
    <row r="247" spans="1:18">
      <c r="A247">
        <v>246</v>
      </c>
      <c r="B247">
        <v>11</v>
      </c>
      <c r="C247">
        <v>15</v>
      </c>
      <c r="D247">
        <v>4</v>
      </c>
      <c r="E247">
        <v>4</v>
      </c>
      <c r="F247">
        <v>1</v>
      </c>
      <c r="G247" t="s">
        <v>89</v>
      </c>
      <c r="H247">
        <v>1.68</v>
      </c>
      <c r="I247" s="2">
        <v>0.91803000000000001</v>
      </c>
      <c r="J247" s="47">
        <v>5</v>
      </c>
      <c r="K247" t="s">
        <v>2</v>
      </c>
      <c r="L247">
        <v>3</v>
      </c>
      <c r="M247" t="s">
        <v>15</v>
      </c>
      <c r="N247" s="56">
        <v>0</v>
      </c>
      <c r="O247">
        <v>1</v>
      </c>
      <c r="P247">
        <v>0</v>
      </c>
      <c r="Q247">
        <v>0</v>
      </c>
      <c r="R247">
        <v>0</v>
      </c>
    </row>
    <row r="248" spans="1:18">
      <c r="A248">
        <v>247</v>
      </c>
      <c r="B248">
        <v>11</v>
      </c>
      <c r="C248">
        <v>16</v>
      </c>
      <c r="D248">
        <v>4</v>
      </c>
      <c r="E248">
        <v>4</v>
      </c>
      <c r="F248">
        <v>1</v>
      </c>
      <c r="G248" t="s">
        <v>89</v>
      </c>
      <c r="H248">
        <v>0.98</v>
      </c>
      <c r="I248" s="2">
        <v>0.58682999999999996</v>
      </c>
      <c r="J248" s="47">
        <v>5</v>
      </c>
      <c r="K248" t="s">
        <v>15</v>
      </c>
      <c r="L248">
        <v>1</v>
      </c>
      <c r="M248" t="s">
        <v>15</v>
      </c>
      <c r="N248" s="56">
        <v>0</v>
      </c>
      <c r="O248">
        <v>1</v>
      </c>
      <c r="P248">
        <v>0</v>
      </c>
      <c r="Q248">
        <v>0</v>
      </c>
      <c r="R248">
        <v>0</v>
      </c>
    </row>
    <row r="249" spans="1:18">
      <c r="A249">
        <v>248</v>
      </c>
      <c r="B249">
        <v>11</v>
      </c>
      <c r="C249">
        <v>17</v>
      </c>
      <c r="D249">
        <v>1</v>
      </c>
      <c r="E249">
        <v>4</v>
      </c>
      <c r="F249">
        <v>0</v>
      </c>
      <c r="G249" t="s">
        <v>91</v>
      </c>
      <c r="H249">
        <v>1.91</v>
      </c>
      <c r="I249" s="2">
        <v>0.95499999999999996</v>
      </c>
      <c r="J249" s="47">
        <v>4</v>
      </c>
      <c r="K249" t="s">
        <v>5</v>
      </c>
      <c r="L249">
        <v>3</v>
      </c>
      <c r="M249" t="s">
        <v>13</v>
      </c>
      <c r="N249" s="56">
        <v>1</v>
      </c>
      <c r="O249">
        <v>1</v>
      </c>
      <c r="P249">
        <v>1</v>
      </c>
      <c r="Q249">
        <v>0</v>
      </c>
      <c r="R249">
        <v>0</v>
      </c>
    </row>
    <row r="250" spans="1:18">
      <c r="A250">
        <v>249</v>
      </c>
      <c r="B250">
        <v>11</v>
      </c>
      <c r="C250">
        <v>18</v>
      </c>
      <c r="D250">
        <v>1</v>
      </c>
      <c r="E250">
        <v>1</v>
      </c>
      <c r="F250">
        <v>1</v>
      </c>
      <c r="G250" t="s">
        <v>92</v>
      </c>
      <c r="H250">
        <v>1.73</v>
      </c>
      <c r="I250" s="2">
        <v>0.91052999999999995</v>
      </c>
      <c r="J250" s="47">
        <v>4</v>
      </c>
      <c r="K250" t="s">
        <v>54</v>
      </c>
      <c r="L250">
        <v>5</v>
      </c>
      <c r="M250" t="s">
        <v>31</v>
      </c>
      <c r="N250" s="56">
        <v>1</v>
      </c>
      <c r="O250">
        <v>1</v>
      </c>
      <c r="P250">
        <v>0</v>
      </c>
      <c r="Q250">
        <v>0</v>
      </c>
      <c r="R250">
        <v>1</v>
      </c>
    </row>
    <row r="251" spans="1:18">
      <c r="A251">
        <v>250</v>
      </c>
      <c r="B251">
        <v>11</v>
      </c>
      <c r="C251">
        <v>19</v>
      </c>
      <c r="D251">
        <v>1</v>
      </c>
      <c r="E251">
        <v>1</v>
      </c>
      <c r="F251">
        <v>1</v>
      </c>
      <c r="G251" t="s">
        <v>92</v>
      </c>
      <c r="H251">
        <v>1.68</v>
      </c>
      <c r="I251" s="2">
        <v>0.89839999999999998</v>
      </c>
      <c r="J251" s="47">
        <v>5</v>
      </c>
      <c r="K251" t="s">
        <v>0</v>
      </c>
      <c r="L251">
        <v>2</v>
      </c>
      <c r="M251" t="s">
        <v>15</v>
      </c>
      <c r="N251" s="56">
        <v>0</v>
      </c>
      <c r="O251">
        <v>1</v>
      </c>
      <c r="P251">
        <v>0</v>
      </c>
      <c r="Q251">
        <v>0</v>
      </c>
      <c r="R251">
        <v>0</v>
      </c>
    </row>
    <row r="252" spans="1:18">
      <c r="A252">
        <v>251</v>
      </c>
      <c r="B252">
        <v>11</v>
      </c>
      <c r="C252">
        <v>23</v>
      </c>
      <c r="D252">
        <v>4</v>
      </c>
      <c r="E252">
        <v>4</v>
      </c>
      <c r="F252">
        <v>1</v>
      </c>
      <c r="G252" t="s">
        <v>89</v>
      </c>
      <c r="H252">
        <v>1.49</v>
      </c>
      <c r="I252" s="2">
        <v>0.87646999999999997</v>
      </c>
      <c r="J252" s="47">
        <v>5</v>
      </c>
      <c r="K252" t="s">
        <v>5</v>
      </c>
      <c r="L252">
        <v>3</v>
      </c>
      <c r="M252" t="s">
        <v>13</v>
      </c>
      <c r="N252" s="56">
        <v>1</v>
      </c>
      <c r="O252">
        <v>1</v>
      </c>
      <c r="P252">
        <v>1</v>
      </c>
      <c r="Q252">
        <v>0</v>
      </c>
      <c r="R252">
        <v>0</v>
      </c>
    </row>
    <row r="253" spans="1:18">
      <c r="A253">
        <v>252</v>
      </c>
      <c r="B253">
        <v>11</v>
      </c>
      <c r="C253">
        <v>24</v>
      </c>
      <c r="D253">
        <v>1</v>
      </c>
      <c r="E253">
        <v>1</v>
      </c>
      <c r="F253">
        <v>1</v>
      </c>
      <c r="G253" t="s">
        <v>92</v>
      </c>
      <c r="H253">
        <v>1.04</v>
      </c>
      <c r="I253" s="2">
        <v>0.52791999999999994</v>
      </c>
      <c r="J253" s="47">
        <v>5</v>
      </c>
      <c r="K253" t="s">
        <v>0</v>
      </c>
      <c r="L253">
        <v>2</v>
      </c>
      <c r="M253" t="s">
        <v>15</v>
      </c>
      <c r="N253" s="56">
        <v>0</v>
      </c>
      <c r="O253">
        <v>1</v>
      </c>
      <c r="P253">
        <v>0</v>
      </c>
      <c r="Q253">
        <v>0</v>
      </c>
      <c r="R253">
        <v>0</v>
      </c>
    </row>
    <row r="254" spans="1:18">
      <c r="A254">
        <v>253</v>
      </c>
      <c r="B254">
        <v>11</v>
      </c>
      <c r="C254">
        <v>26</v>
      </c>
      <c r="D254">
        <v>1</v>
      </c>
      <c r="E254">
        <v>1</v>
      </c>
      <c r="F254">
        <v>1</v>
      </c>
      <c r="G254" t="s">
        <v>92</v>
      </c>
      <c r="H254">
        <v>1.31</v>
      </c>
      <c r="I254" s="2">
        <v>0.67876000000000003</v>
      </c>
      <c r="J254" s="47">
        <v>5</v>
      </c>
      <c r="K254" t="s">
        <v>2</v>
      </c>
      <c r="L254">
        <v>3</v>
      </c>
      <c r="M254" t="s">
        <v>15</v>
      </c>
      <c r="N254" s="56">
        <v>0</v>
      </c>
      <c r="O254">
        <v>1</v>
      </c>
      <c r="P254">
        <v>0</v>
      </c>
      <c r="Q254">
        <v>0</v>
      </c>
      <c r="R254">
        <v>0</v>
      </c>
    </row>
    <row r="255" spans="1:18">
      <c r="A255">
        <v>254</v>
      </c>
      <c r="B255">
        <v>11</v>
      </c>
      <c r="C255">
        <v>27</v>
      </c>
      <c r="D255">
        <v>4</v>
      </c>
      <c r="E255">
        <v>1</v>
      </c>
      <c r="F255">
        <v>0</v>
      </c>
      <c r="G255" t="s">
        <v>90</v>
      </c>
      <c r="H255">
        <v>1.07</v>
      </c>
      <c r="I255" s="2">
        <v>0.74824999999999997</v>
      </c>
      <c r="J255" s="47">
        <v>2</v>
      </c>
      <c r="K255" t="s">
        <v>0</v>
      </c>
      <c r="L255">
        <v>2</v>
      </c>
      <c r="M255" t="s">
        <v>15</v>
      </c>
      <c r="N255" s="56">
        <v>0</v>
      </c>
      <c r="O255">
        <v>1</v>
      </c>
      <c r="P255">
        <v>0</v>
      </c>
      <c r="Q255">
        <v>0</v>
      </c>
      <c r="R255">
        <v>0</v>
      </c>
    </row>
    <row r="256" spans="1:18">
      <c r="A256">
        <v>255</v>
      </c>
      <c r="B256">
        <v>11</v>
      </c>
      <c r="C256">
        <v>28</v>
      </c>
      <c r="D256">
        <v>1</v>
      </c>
      <c r="E256">
        <v>1</v>
      </c>
      <c r="F256">
        <v>1</v>
      </c>
      <c r="G256" t="s">
        <v>92</v>
      </c>
      <c r="H256">
        <v>1.34</v>
      </c>
      <c r="I256" s="2">
        <v>0.71657999999999999</v>
      </c>
      <c r="J256" s="47">
        <v>1</v>
      </c>
      <c r="K256" t="s">
        <v>0</v>
      </c>
      <c r="L256">
        <v>2</v>
      </c>
      <c r="M256" t="s">
        <v>15</v>
      </c>
      <c r="N256" s="56">
        <v>0</v>
      </c>
      <c r="O256">
        <v>1</v>
      </c>
      <c r="P256">
        <v>0</v>
      </c>
      <c r="Q256">
        <v>0</v>
      </c>
      <c r="R256">
        <v>0</v>
      </c>
    </row>
    <row r="257" spans="1:18">
      <c r="A257">
        <v>256</v>
      </c>
      <c r="B257">
        <v>11</v>
      </c>
      <c r="C257">
        <v>29</v>
      </c>
      <c r="D257">
        <v>4</v>
      </c>
      <c r="E257">
        <v>4</v>
      </c>
      <c r="F257">
        <v>1</v>
      </c>
      <c r="G257" t="s">
        <v>89</v>
      </c>
      <c r="H257">
        <v>1.57</v>
      </c>
      <c r="I257" s="2">
        <v>0.94011999999999996</v>
      </c>
      <c r="J257" s="47">
        <v>3</v>
      </c>
      <c r="K257" t="s">
        <v>5</v>
      </c>
      <c r="L257">
        <v>3</v>
      </c>
      <c r="M257" t="s">
        <v>13</v>
      </c>
      <c r="N257" s="56">
        <v>1</v>
      </c>
      <c r="O257">
        <v>1</v>
      </c>
      <c r="P257">
        <v>1</v>
      </c>
      <c r="Q257">
        <v>0</v>
      </c>
      <c r="R257">
        <v>0</v>
      </c>
    </row>
    <row r="258" spans="1:18">
      <c r="A258">
        <v>257</v>
      </c>
      <c r="B258">
        <v>11</v>
      </c>
      <c r="C258">
        <v>30</v>
      </c>
      <c r="D258">
        <v>4</v>
      </c>
      <c r="E258">
        <v>4</v>
      </c>
      <c r="F258">
        <v>1</v>
      </c>
      <c r="G258" t="s">
        <v>89</v>
      </c>
      <c r="H258">
        <v>1.74</v>
      </c>
      <c r="I258" s="2">
        <v>1.0235300000000001</v>
      </c>
      <c r="J258" s="47">
        <v>5</v>
      </c>
      <c r="K258" t="s">
        <v>2</v>
      </c>
      <c r="L258">
        <v>3</v>
      </c>
      <c r="M258" t="s">
        <v>15</v>
      </c>
      <c r="N258" s="56">
        <v>0</v>
      </c>
      <c r="O258">
        <v>1</v>
      </c>
      <c r="P258">
        <v>0</v>
      </c>
      <c r="Q258">
        <v>0</v>
      </c>
      <c r="R258">
        <v>0</v>
      </c>
    </row>
    <row r="259" spans="1:18">
      <c r="A259">
        <v>258</v>
      </c>
      <c r="B259">
        <v>11</v>
      </c>
      <c r="C259">
        <v>34</v>
      </c>
      <c r="D259">
        <v>1</v>
      </c>
      <c r="E259">
        <v>1</v>
      </c>
      <c r="F259">
        <v>1</v>
      </c>
      <c r="G259" t="s">
        <v>92</v>
      </c>
      <c r="H259">
        <v>1.53</v>
      </c>
      <c r="I259" s="2">
        <v>0.73912999999999995</v>
      </c>
      <c r="J259" s="47">
        <v>4</v>
      </c>
      <c r="K259" t="s">
        <v>0</v>
      </c>
      <c r="L259">
        <v>2</v>
      </c>
      <c r="M259" t="s">
        <v>15</v>
      </c>
      <c r="N259" s="56">
        <v>0</v>
      </c>
      <c r="O259">
        <v>1</v>
      </c>
      <c r="P259">
        <v>0</v>
      </c>
      <c r="Q259">
        <v>0</v>
      </c>
      <c r="R259">
        <v>0</v>
      </c>
    </row>
    <row r="260" spans="1:18">
      <c r="A260">
        <v>259</v>
      </c>
      <c r="B260">
        <v>11</v>
      </c>
      <c r="C260">
        <v>35</v>
      </c>
      <c r="D260">
        <v>1</v>
      </c>
      <c r="E260">
        <v>4</v>
      </c>
      <c r="F260">
        <v>0</v>
      </c>
      <c r="G260" t="s">
        <v>91</v>
      </c>
      <c r="H260">
        <v>1.58</v>
      </c>
      <c r="I260" s="2">
        <v>0.84492</v>
      </c>
      <c r="J260" s="47">
        <v>5</v>
      </c>
      <c r="K260" t="s">
        <v>0</v>
      </c>
      <c r="L260">
        <v>2</v>
      </c>
      <c r="M260" t="s">
        <v>15</v>
      </c>
      <c r="N260" s="56">
        <v>0</v>
      </c>
      <c r="O260">
        <v>1</v>
      </c>
      <c r="P260">
        <v>0</v>
      </c>
      <c r="Q260">
        <v>0</v>
      </c>
      <c r="R260">
        <v>0</v>
      </c>
    </row>
    <row r="261" spans="1:18">
      <c r="A261">
        <v>260</v>
      </c>
      <c r="B261">
        <v>11</v>
      </c>
      <c r="C261">
        <v>36</v>
      </c>
      <c r="D261">
        <v>1</v>
      </c>
      <c r="E261">
        <v>1</v>
      </c>
      <c r="F261">
        <v>1</v>
      </c>
      <c r="G261" t="s">
        <v>92</v>
      </c>
      <c r="H261">
        <v>1.58</v>
      </c>
      <c r="I261" s="2">
        <v>0.84492</v>
      </c>
      <c r="J261" s="47">
        <v>5</v>
      </c>
      <c r="K261" t="s">
        <v>2</v>
      </c>
      <c r="L261">
        <v>3</v>
      </c>
      <c r="M261" t="s">
        <v>15</v>
      </c>
      <c r="N261" s="56">
        <v>0</v>
      </c>
      <c r="O261">
        <v>1</v>
      </c>
      <c r="P261">
        <v>0</v>
      </c>
      <c r="Q261">
        <v>0</v>
      </c>
      <c r="R261">
        <v>0</v>
      </c>
    </row>
    <row r="262" spans="1:18">
      <c r="A262">
        <v>261</v>
      </c>
      <c r="B262">
        <v>11</v>
      </c>
      <c r="C262">
        <v>37</v>
      </c>
      <c r="D262">
        <v>4</v>
      </c>
      <c r="E262">
        <v>4</v>
      </c>
      <c r="F262">
        <v>1</v>
      </c>
      <c r="G262" t="s">
        <v>89</v>
      </c>
      <c r="H262">
        <v>1.47</v>
      </c>
      <c r="I262" s="2">
        <v>0.83050999999999997</v>
      </c>
      <c r="J262" s="47">
        <v>4</v>
      </c>
      <c r="K262" t="s">
        <v>0</v>
      </c>
      <c r="L262">
        <v>2</v>
      </c>
      <c r="M262" t="s">
        <v>15</v>
      </c>
      <c r="N262" s="56">
        <v>0</v>
      </c>
      <c r="O262">
        <v>1</v>
      </c>
      <c r="P262">
        <v>0</v>
      </c>
      <c r="Q262">
        <v>0</v>
      </c>
      <c r="R262">
        <v>0</v>
      </c>
    </row>
    <row r="263" spans="1:18">
      <c r="A263">
        <v>262</v>
      </c>
      <c r="B263">
        <v>11</v>
      </c>
      <c r="C263">
        <v>39</v>
      </c>
      <c r="D263">
        <v>1</v>
      </c>
      <c r="E263">
        <v>4</v>
      </c>
      <c r="F263">
        <v>0</v>
      </c>
      <c r="G263" t="s">
        <v>91</v>
      </c>
      <c r="H263">
        <v>1.7</v>
      </c>
      <c r="I263" s="2">
        <v>0.90908999999999995</v>
      </c>
      <c r="J263" s="47">
        <v>3</v>
      </c>
      <c r="K263" t="s">
        <v>26</v>
      </c>
      <c r="L263">
        <v>3</v>
      </c>
      <c r="M263" t="s">
        <v>38</v>
      </c>
      <c r="N263" s="56">
        <v>1</v>
      </c>
      <c r="O263">
        <v>1</v>
      </c>
      <c r="P263">
        <v>0</v>
      </c>
      <c r="Q263">
        <v>1</v>
      </c>
      <c r="R263">
        <v>0</v>
      </c>
    </row>
    <row r="264" spans="1:18">
      <c r="A264">
        <v>263</v>
      </c>
      <c r="B264">
        <v>11</v>
      </c>
      <c r="C264">
        <v>41</v>
      </c>
      <c r="D264">
        <v>1</v>
      </c>
      <c r="E264">
        <v>4</v>
      </c>
      <c r="F264">
        <v>0</v>
      </c>
      <c r="G264" t="s">
        <v>91</v>
      </c>
      <c r="H264">
        <v>0.85</v>
      </c>
      <c r="I264" s="2">
        <v>0.46448</v>
      </c>
      <c r="J264" s="47">
        <v>4</v>
      </c>
      <c r="K264" t="s">
        <v>0</v>
      </c>
      <c r="L264">
        <v>2</v>
      </c>
      <c r="M264" t="s">
        <v>15</v>
      </c>
      <c r="N264" s="56">
        <v>0</v>
      </c>
      <c r="O264">
        <v>1</v>
      </c>
      <c r="P264">
        <v>0</v>
      </c>
      <c r="Q264">
        <v>0</v>
      </c>
      <c r="R264">
        <v>0</v>
      </c>
    </row>
    <row r="265" spans="1:18">
      <c r="A265">
        <v>264</v>
      </c>
      <c r="B265">
        <v>11</v>
      </c>
      <c r="C265">
        <v>42</v>
      </c>
      <c r="D265">
        <v>1</v>
      </c>
      <c r="E265">
        <v>4</v>
      </c>
      <c r="F265">
        <v>0</v>
      </c>
      <c r="G265" t="s">
        <v>91</v>
      </c>
      <c r="H265">
        <v>1.67</v>
      </c>
      <c r="I265" s="2">
        <v>0.87895000000000001</v>
      </c>
      <c r="J265" s="47">
        <v>1</v>
      </c>
      <c r="K265" t="s">
        <v>31</v>
      </c>
      <c r="L265">
        <v>2</v>
      </c>
      <c r="M265" t="s">
        <v>31</v>
      </c>
      <c r="N265" s="56">
        <v>1</v>
      </c>
      <c r="O265">
        <v>1</v>
      </c>
      <c r="P265">
        <v>0</v>
      </c>
      <c r="Q265">
        <v>0</v>
      </c>
      <c r="R265">
        <v>1</v>
      </c>
    </row>
    <row r="266" spans="1:18">
      <c r="A266">
        <v>265</v>
      </c>
      <c r="B266">
        <v>12</v>
      </c>
      <c r="C266">
        <v>1</v>
      </c>
      <c r="D266">
        <v>4</v>
      </c>
      <c r="E266">
        <v>4</v>
      </c>
      <c r="F266">
        <v>1</v>
      </c>
      <c r="G266" t="s">
        <v>89</v>
      </c>
      <c r="H266">
        <v>1.31</v>
      </c>
      <c r="I266" s="2">
        <v>0.87333000000000005</v>
      </c>
      <c r="J266" s="47">
        <v>5</v>
      </c>
      <c r="K266" t="s">
        <v>2</v>
      </c>
      <c r="L266">
        <v>3</v>
      </c>
      <c r="M266" t="s">
        <v>15</v>
      </c>
      <c r="N266" s="56">
        <v>0</v>
      </c>
      <c r="O266">
        <v>1</v>
      </c>
      <c r="P266">
        <v>0</v>
      </c>
      <c r="Q266">
        <v>0</v>
      </c>
      <c r="R266">
        <v>0</v>
      </c>
    </row>
    <row r="267" spans="1:18">
      <c r="A267">
        <v>266</v>
      </c>
      <c r="B267">
        <v>12</v>
      </c>
      <c r="C267">
        <v>4</v>
      </c>
      <c r="D267">
        <v>4</v>
      </c>
      <c r="E267">
        <v>4</v>
      </c>
      <c r="F267">
        <v>1</v>
      </c>
      <c r="G267" t="s">
        <v>89</v>
      </c>
      <c r="H267">
        <v>1.34</v>
      </c>
      <c r="I267" s="2">
        <v>0.82208999999999999</v>
      </c>
      <c r="J267" s="47">
        <v>5</v>
      </c>
      <c r="K267" t="s">
        <v>2</v>
      </c>
      <c r="L267">
        <v>3</v>
      </c>
      <c r="M267" t="s">
        <v>15</v>
      </c>
      <c r="N267" s="56">
        <v>0</v>
      </c>
      <c r="O267">
        <v>1</v>
      </c>
      <c r="P267">
        <v>0</v>
      </c>
      <c r="Q267">
        <v>0</v>
      </c>
      <c r="R267">
        <v>0</v>
      </c>
    </row>
    <row r="268" spans="1:18">
      <c r="A268">
        <v>267</v>
      </c>
      <c r="B268">
        <v>12</v>
      </c>
      <c r="C268">
        <v>7</v>
      </c>
      <c r="D268">
        <v>4</v>
      </c>
      <c r="E268">
        <v>1</v>
      </c>
      <c r="F268">
        <v>0</v>
      </c>
      <c r="G268" t="s">
        <v>90</v>
      </c>
      <c r="H268">
        <v>1.55</v>
      </c>
      <c r="I268" s="2">
        <v>0.98726000000000003</v>
      </c>
      <c r="J268" s="47">
        <v>2</v>
      </c>
      <c r="K268" t="s">
        <v>53</v>
      </c>
      <c r="L268">
        <v>4</v>
      </c>
      <c r="M268" t="s">
        <v>15</v>
      </c>
      <c r="N268" s="56">
        <v>0</v>
      </c>
      <c r="O268">
        <v>1</v>
      </c>
      <c r="P268">
        <v>0</v>
      </c>
      <c r="Q268">
        <v>0</v>
      </c>
      <c r="R268">
        <v>0</v>
      </c>
    </row>
    <row r="269" spans="1:18">
      <c r="A269">
        <v>268</v>
      </c>
      <c r="B269">
        <v>12</v>
      </c>
      <c r="C269">
        <v>9</v>
      </c>
      <c r="D269">
        <v>4</v>
      </c>
      <c r="E269">
        <v>4</v>
      </c>
      <c r="F269">
        <v>1</v>
      </c>
      <c r="G269" t="s">
        <v>89</v>
      </c>
      <c r="H269">
        <v>1.0900000000000001</v>
      </c>
      <c r="I269" s="2">
        <v>0.76224000000000003</v>
      </c>
      <c r="J269" s="47">
        <v>4</v>
      </c>
      <c r="K269" t="s">
        <v>2</v>
      </c>
      <c r="L269">
        <v>3</v>
      </c>
      <c r="M269" t="s">
        <v>15</v>
      </c>
      <c r="N269" s="56">
        <v>0</v>
      </c>
      <c r="O269">
        <v>1</v>
      </c>
      <c r="P269">
        <v>0</v>
      </c>
      <c r="Q269">
        <v>0</v>
      </c>
      <c r="R269">
        <v>0</v>
      </c>
    </row>
    <row r="270" spans="1:18">
      <c r="A270">
        <v>269</v>
      </c>
      <c r="B270">
        <v>12</v>
      </c>
      <c r="C270">
        <v>11</v>
      </c>
      <c r="D270">
        <v>4</v>
      </c>
      <c r="E270">
        <v>4</v>
      </c>
      <c r="F270">
        <v>1</v>
      </c>
      <c r="G270" t="s">
        <v>89</v>
      </c>
      <c r="H270">
        <v>1.68</v>
      </c>
      <c r="I270" s="2">
        <v>0.85279000000000005</v>
      </c>
      <c r="J270" s="47">
        <v>4</v>
      </c>
      <c r="K270" t="s">
        <v>2</v>
      </c>
      <c r="L270">
        <v>3</v>
      </c>
      <c r="M270" t="s">
        <v>15</v>
      </c>
      <c r="N270" s="56">
        <v>0</v>
      </c>
      <c r="O270">
        <v>1</v>
      </c>
      <c r="P270">
        <v>0</v>
      </c>
      <c r="Q270">
        <v>0</v>
      </c>
      <c r="R270">
        <v>0</v>
      </c>
    </row>
    <row r="271" spans="1:18">
      <c r="A271">
        <v>270</v>
      </c>
      <c r="B271">
        <v>12</v>
      </c>
      <c r="C271">
        <v>15</v>
      </c>
      <c r="D271">
        <v>4</v>
      </c>
      <c r="E271">
        <v>4</v>
      </c>
      <c r="F271">
        <v>1</v>
      </c>
      <c r="G271" t="s">
        <v>89</v>
      </c>
      <c r="H271">
        <v>1.47</v>
      </c>
      <c r="I271" s="2">
        <v>0.80327999999999999</v>
      </c>
      <c r="J271" s="47">
        <v>4</v>
      </c>
      <c r="K271" t="s">
        <v>0</v>
      </c>
      <c r="L271">
        <v>2</v>
      </c>
      <c r="M271" t="s">
        <v>15</v>
      </c>
      <c r="N271" s="56">
        <v>0</v>
      </c>
      <c r="O271">
        <v>1</v>
      </c>
      <c r="P271">
        <v>0</v>
      </c>
      <c r="Q271">
        <v>0</v>
      </c>
      <c r="R271">
        <v>0</v>
      </c>
    </row>
    <row r="272" spans="1:18">
      <c r="A272">
        <v>271</v>
      </c>
      <c r="B272">
        <v>12</v>
      </c>
      <c r="C272">
        <v>16</v>
      </c>
      <c r="D272">
        <v>4</v>
      </c>
      <c r="E272">
        <v>4</v>
      </c>
      <c r="F272">
        <v>1</v>
      </c>
      <c r="G272" t="s">
        <v>89</v>
      </c>
      <c r="H272">
        <v>1.25</v>
      </c>
      <c r="I272" s="2">
        <v>0.74850000000000005</v>
      </c>
      <c r="J272" s="47">
        <v>5</v>
      </c>
      <c r="K272" t="s">
        <v>0</v>
      </c>
      <c r="L272">
        <v>2</v>
      </c>
      <c r="M272" t="s">
        <v>15</v>
      </c>
      <c r="N272" s="56">
        <v>0</v>
      </c>
      <c r="O272">
        <v>1</v>
      </c>
      <c r="P272">
        <v>0</v>
      </c>
      <c r="Q272">
        <v>0</v>
      </c>
      <c r="R272">
        <v>0</v>
      </c>
    </row>
    <row r="273" spans="1:18">
      <c r="A273">
        <v>272</v>
      </c>
      <c r="B273">
        <v>12</v>
      </c>
      <c r="C273">
        <v>17</v>
      </c>
      <c r="D273">
        <v>1</v>
      </c>
      <c r="E273">
        <v>4</v>
      </c>
      <c r="F273">
        <v>0</v>
      </c>
      <c r="G273" t="s">
        <v>91</v>
      </c>
      <c r="H273">
        <v>1.67</v>
      </c>
      <c r="I273" s="2">
        <v>0.83499999999999996</v>
      </c>
      <c r="J273" s="47">
        <v>4</v>
      </c>
      <c r="K273" t="s">
        <v>5</v>
      </c>
      <c r="L273">
        <v>3</v>
      </c>
      <c r="M273" t="s">
        <v>13</v>
      </c>
      <c r="N273" s="56">
        <v>1</v>
      </c>
      <c r="O273">
        <v>1</v>
      </c>
      <c r="P273">
        <v>1</v>
      </c>
      <c r="Q273">
        <v>0</v>
      </c>
      <c r="R273">
        <v>0</v>
      </c>
    </row>
    <row r="274" spans="1:18">
      <c r="A274">
        <v>273</v>
      </c>
      <c r="B274">
        <v>12</v>
      </c>
      <c r="C274">
        <v>18</v>
      </c>
      <c r="D274">
        <v>1</v>
      </c>
      <c r="E274">
        <v>1</v>
      </c>
      <c r="F274">
        <v>1</v>
      </c>
      <c r="G274" t="s">
        <v>92</v>
      </c>
      <c r="H274">
        <v>1.54</v>
      </c>
      <c r="I274" s="2">
        <v>0.81052999999999997</v>
      </c>
      <c r="J274" s="47">
        <v>4</v>
      </c>
      <c r="K274" t="s">
        <v>39</v>
      </c>
      <c r="L274">
        <v>4</v>
      </c>
      <c r="M274" t="s">
        <v>13</v>
      </c>
      <c r="N274" s="56">
        <v>1</v>
      </c>
      <c r="O274">
        <v>1</v>
      </c>
      <c r="P274">
        <v>1</v>
      </c>
      <c r="Q274">
        <v>0</v>
      </c>
      <c r="R274">
        <v>0</v>
      </c>
    </row>
    <row r="275" spans="1:18">
      <c r="A275">
        <v>274</v>
      </c>
      <c r="B275">
        <v>12</v>
      </c>
      <c r="C275">
        <v>19</v>
      </c>
      <c r="D275">
        <v>1</v>
      </c>
      <c r="E275">
        <v>1</v>
      </c>
      <c r="F275">
        <v>1</v>
      </c>
      <c r="G275" t="s">
        <v>92</v>
      </c>
      <c r="H275">
        <v>1.44</v>
      </c>
      <c r="I275" s="2">
        <v>0.77005000000000001</v>
      </c>
      <c r="J275" s="47">
        <v>5</v>
      </c>
      <c r="K275" t="s">
        <v>0</v>
      </c>
      <c r="L275">
        <v>2</v>
      </c>
      <c r="M275" t="s">
        <v>15</v>
      </c>
      <c r="N275" s="56">
        <v>0</v>
      </c>
      <c r="O275">
        <v>1</v>
      </c>
      <c r="P275">
        <v>0</v>
      </c>
      <c r="Q275">
        <v>0</v>
      </c>
      <c r="R275">
        <v>0</v>
      </c>
    </row>
    <row r="276" spans="1:18">
      <c r="A276">
        <v>275</v>
      </c>
      <c r="B276">
        <v>12</v>
      </c>
      <c r="C276">
        <v>23</v>
      </c>
      <c r="D276">
        <v>4</v>
      </c>
      <c r="E276">
        <v>4</v>
      </c>
      <c r="F276">
        <v>1</v>
      </c>
      <c r="G276" t="s">
        <v>89</v>
      </c>
      <c r="H276">
        <v>1.27</v>
      </c>
      <c r="I276" s="2">
        <v>0.74705999999999995</v>
      </c>
      <c r="J276" s="47">
        <v>5</v>
      </c>
      <c r="K276" t="s">
        <v>0</v>
      </c>
      <c r="L276">
        <v>2</v>
      </c>
      <c r="M276" t="s">
        <v>15</v>
      </c>
      <c r="N276" s="56">
        <v>0</v>
      </c>
      <c r="O276">
        <v>1</v>
      </c>
      <c r="P276">
        <v>0</v>
      </c>
      <c r="Q276">
        <v>0</v>
      </c>
      <c r="R276">
        <v>0</v>
      </c>
    </row>
    <row r="277" spans="1:18">
      <c r="A277">
        <v>276</v>
      </c>
      <c r="B277">
        <v>12</v>
      </c>
      <c r="C277">
        <v>24</v>
      </c>
      <c r="D277">
        <v>1</v>
      </c>
      <c r="E277">
        <v>4</v>
      </c>
      <c r="F277">
        <v>0</v>
      </c>
      <c r="G277" t="s">
        <v>91</v>
      </c>
      <c r="H277">
        <v>1.58</v>
      </c>
      <c r="I277" s="2">
        <v>0.80203000000000002</v>
      </c>
      <c r="J277" s="47">
        <v>1</v>
      </c>
      <c r="K277" t="s">
        <v>2</v>
      </c>
      <c r="L277">
        <v>3</v>
      </c>
      <c r="M277" t="s">
        <v>15</v>
      </c>
      <c r="N277" s="56">
        <v>0</v>
      </c>
      <c r="O277">
        <v>1</v>
      </c>
      <c r="P277">
        <v>0</v>
      </c>
      <c r="Q277">
        <v>0</v>
      </c>
      <c r="R277">
        <v>0</v>
      </c>
    </row>
    <row r="278" spans="1:18">
      <c r="A278">
        <v>277</v>
      </c>
      <c r="B278">
        <v>12</v>
      </c>
      <c r="C278">
        <v>26</v>
      </c>
      <c r="D278">
        <v>1</v>
      </c>
      <c r="E278">
        <v>1</v>
      </c>
      <c r="F278">
        <v>1</v>
      </c>
      <c r="G278" t="s">
        <v>92</v>
      </c>
      <c r="H278">
        <v>1.71</v>
      </c>
      <c r="I278" s="2">
        <v>0.88600999999999996</v>
      </c>
      <c r="J278" s="47">
        <v>3</v>
      </c>
      <c r="K278" t="s">
        <v>2</v>
      </c>
      <c r="L278">
        <v>3</v>
      </c>
      <c r="M278" t="s">
        <v>15</v>
      </c>
      <c r="N278" s="56">
        <v>0</v>
      </c>
      <c r="O278">
        <v>1</v>
      </c>
      <c r="P278">
        <v>0</v>
      </c>
      <c r="Q278">
        <v>0</v>
      </c>
      <c r="R278">
        <v>0</v>
      </c>
    </row>
    <row r="279" spans="1:18">
      <c r="A279">
        <v>278</v>
      </c>
      <c r="B279">
        <v>12</v>
      </c>
      <c r="C279">
        <v>27</v>
      </c>
      <c r="D279">
        <v>4</v>
      </c>
      <c r="E279">
        <v>1</v>
      </c>
      <c r="F279">
        <v>0</v>
      </c>
      <c r="G279" t="s">
        <v>90</v>
      </c>
      <c r="H279">
        <v>1.37</v>
      </c>
      <c r="I279" s="2">
        <v>0.95804</v>
      </c>
      <c r="J279" s="47">
        <v>2</v>
      </c>
      <c r="K279" t="s">
        <v>2</v>
      </c>
      <c r="L279">
        <v>3</v>
      </c>
      <c r="M279" t="s">
        <v>15</v>
      </c>
      <c r="N279" s="56">
        <v>0</v>
      </c>
      <c r="O279">
        <v>1</v>
      </c>
      <c r="P279">
        <v>0</v>
      </c>
      <c r="Q279">
        <v>0</v>
      </c>
      <c r="R279">
        <v>0</v>
      </c>
    </row>
    <row r="280" spans="1:18">
      <c r="A280">
        <v>279</v>
      </c>
      <c r="B280">
        <v>12</v>
      </c>
      <c r="C280">
        <v>28</v>
      </c>
      <c r="D280">
        <v>1</v>
      </c>
      <c r="E280">
        <v>4</v>
      </c>
      <c r="F280">
        <v>0</v>
      </c>
      <c r="G280" t="s">
        <v>91</v>
      </c>
      <c r="H280">
        <v>1.58</v>
      </c>
      <c r="I280" s="2">
        <v>0.84492</v>
      </c>
      <c r="J280" s="47">
        <v>5</v>
      </c>
      <c r="K280" t="s">
        <v>0</v>
      </c>
      <c r="L280">
        <v>2</v>
      </c>
      <c r="M280" t="s">
        <v>15</v>
      </c>
      <c r="N280" s="56">
        <v>0</v>
      </c>
      <c r="O280">
        <v>1</v>
      </c>
      <c r="P280">
        <v>0</v>
      </c>
      <c r="Q280">
        <v>0</v>
      </c>
      <c r="R280">
        <v>0</v>
      </c>
    </row>
    <row r="281" spans="1:18">
      <c r="A281">
        <v>280</v>
      </c>
      <c r="B281">
        <v>12</v>
      </c>
      <c r="C281">
        <v>29</v>
      </c>
      <c r="D281">
        <v>4</v>
      </c>
      <c r="E281">
        <v>1</v>
      </c>
      <c r="F281">
        <v>0</v>
      </c>
      <c r="G281" t="s">
        <v>90</v>
      </c>
      <c r="H281">
        <v>1.43</v>
      </c>
      <c r="I281" s="2">
        <v>0.85629</v>
      </c>
      <c r="J281" s="47">
        <v>4</v>
      </c>
      <c r="K281" t="s">
        <v>0</v>
      </c>
      <c r="L281">
        <v>2</v>
      </c>
      <c r="M281" t="s">
        <v>15</v>
      </c>
      <c r="N281" s="56">
        <v>0</v>
      </c>
      <c r="O281">
        <v>1</v>
      </c>
      <c r="P281">
        <v>0</v>
      </c>
      <c r="Q281">
        <v>0</v>
      </c>
      <c r="R281">
        <v>0</v>
      </c>
    </row>
    <row r="282" spans="1:18">
      <c r="A282">
        <v>281</v>
      </c>
      <c r="B282">
        <v>12</v>
      </c>
      <c r="C282">
        <v>30</v>
      </c>
      <c r="D282">
        <v>4</v>
      </c>
      <c r="E282">
        <v>1</v>
      </c>
      <c r="F282">
        <v>0</v>
      </c>
      <c r="G282" t="s">
        <v>90</v>
      </c>
      <c r="H282">
        <v>1.18</v>
      </c>
      <c r="I282" s="2">
        <v>0.69411999999999996</v>
      </c>
      <c r="J282" s="47">
        <v>2</v>
      </c>
      <c r="K282" t="s">
        <v>55</v>
      </c>
      <c r="L282">
        <v>4</v>
      </c>
      <c r="M282" t="s">
        <v>1</v>
      </c>
      <c r="N282" s="56">
        <v>2</v>
      </c>
      <c r="O282">
        <v>1</v>
      </c>
      <c r="P282">
        <v>1</v>
      </c>
      <c r="Q282">
        <v>0</v>
      </c>
      <c r="R282">
        <v>0</v>
      </c>
    </row>
    <row r="283" spans="1:18">
      <c r="A283">
        <v>282</v>
      </c>
      <c r="B283">
        <v>12</v>
      </c>
      <c r="C283">
        <v>34</v>
      </c>
      <c r="D283">
        <v>1</v>
      </c>
      <c r="E283">
        <v>1</v>
      </c>
      <c r="F283">
        <v>1</v>
      </c>
      <c r="G283" t="s">
        <v>92</v>
      </c>
      <c r="H283">
        <v>1.45</v>
      </c>
      <c r="I283" s="2">
        <v>0.70047999999999999</v>
      </c>
      <c r="J283" s="47">
        <v>4</v>
      </c>
      <c r="K283" t="s">
        <v>0</v>
      </c>
      <c r="L283">
        <v>2</v>
      </c>
      <c r="M283" t="s">
        <v>15</v>
      </c>
      <c r="N283" s="56">
        <v>0</v>
      </c>
      <c r="O283">
        <v>1</v>
      </c>
      <c r="P283">
        <v>0</v>
      </c>
      <c r="Q283">
        <v>0</v>
      </c>
      <c r="R283">
        <v>0</v>
      </c>
    </row>
    <row r="284" spans="1:18">
      <c r="A284">
        <v>283</v>
      </c>
      <c r="B284">
        <v>12</v>
      </c>
      <c r="C284">
        <v>35</v>
      </c>
      <c r="D284">
        <v>1</v>
      </c>
      <c r="E284">
        <v>4</v>
      </c>
      <c r="F284">
        <v>0</v>
      </c>
      <c r="G284" t="s">
        <v>91</v>
      </c>
      <c r="H284">
        <v>1.53</v>
      </c>
      <c r="I284" s="2">
        <v>0.81818000000000002</v>
      </c>
      <c r="J284" s="47">
        <v>3</v>
      </c>
      <c r="K284" t="s">
        <v>15</v>
      </c>
      <c r="L284">
        <v>1</v>
      </c>
      <c r="M284" t="s">
        <v>15</v>
      </c>
      <c r="N284" s="56">
        <v>0</v>
      </c>
      <c r="O284">
        <v>1</v>
      </c>
      <c r="P284">
        <v>0</v>
      </c>
      <c r="Q284">
        <v>0</v>
      </c>
      <c r="R284">
        <v>0</v>
      </c>
    </row>
    <row r="285" spans="1:18">
      <c r="A285">
        <v>284</v>
      </c>
      <c r="B285">
        <v>12</v>
      </c>
      <c r="C285">
        <v>36</v>
      </c>
      <c r="D285">
        <v>1</v>
      </c>
      <c r="E285">
        <v>1</v>
      </c>
      <c r="F285">
        <v>1</v>
      </c>
      <c r="G285" t="s">
        <v>92</v>
      </c>
      <c r="H285">
        <v>1.49</v>
      </c>
      <c r="I285" s="2">
        <v>0.79679</v>
      </c>
      <c r="J285" s="47">
        <v>5</v>
      </c>
      <c r="K285" t="s">
        <v>2</v>
      </c>
      <c r="L285">
        <v>3</v>
      </c>
      <c r="M285" t="s">
        <v>15</v>
      </c>
      <c r="N285" s="56">
        <v>0</v>
      </c>
      <c r="O285">
        <v>1</v>
      </c>
      <c r="P285">
        <v>0</v>
      </c>
      <c r="Q285">
        <v>0</v>
      </c>
      <c r="R285">
        <v>0</v>
      </c>
    </row>
    <row r="286" spans="1:18">
      <c r="A286">
        <v>285</v>
      </c>
      <c r="B286">
        <v>12</v>
      </c>
      <c r="C286">
        <v>37</v>
      </c>
      <c r="D286">
        <v>4</v>
      </c>
      <c r="E286">
        <v>4</v>
      </c>
      <c r="F286">
        <v>1</v>
      </c>
      <c r="G286" t="s">
        <v>89</v>
      </c>
      <c r="H286">
        <v>1.45</v>
      </c>
      <c r="I286" s="2">
        <v>0.81920999999999999</v>
      </c>
      <c r="J286" s="47">
        <v>5</v>
      </c>
      <c r="K286" t="s">
        <v>0</v>
      </c>
      <c r="L286">
        <v>2</v>
      </c>
      <c r="M286" t="s">
        <v>15</v>
      </c>
      <c r="N286" s="56">
        <v>0</v>
      </c>
      <c r="O286">
        <v>1</v>
      </c>
      <c r="P286">
        <v>0</v>
      </c>
      <c r="Q286">
        <v>0</v>
      </c>
      <c r="R286">
        <v>0</v>
      </c>
    </row>
    <row r="287" spans="1:18">
      <c r="A287">
        <v>286</v>
      </c>
      <c r="B287">
        <v>12</v>
      </c>
      <c r="C287">
        <v>39</v>
      </c>
      <c r="D287">
        <v>1</v>
      </c>
      <c r="E287">
        <v>4</v>
      </c>
      <c r="F287">
        <v>0</v>
      </c>
      <c r="G287" t="s">
        <v>91</v>
      </c>
      <c r="H287">
        <v>1.37</v>
      </c>
      <c r="I287" s="2">
        <v>0.73262000000000005</v>
      </c>
      <c r="J287" s="47">
        <v>4</v>
      </c>
      <c r="K287" t="s">
        <v>0</v>
      </c>
      <c r="L287">
        <v>2</v>
      </c>
      <c r="M287" t="s">
        <v>15</v>
      </c>
      <c r="N287" s="56">
        <v>0</v>
      </c>
      <c r="O287">
        <v>1</v>
      </c>
      <c r="P287">
        <v>0</v>
      </c>
      <c r="Q287">
        <v>0</v>
      </c>
      <c r="R287">
        <v>0</v>
      </c>
    </row>
    <row r="288" spans="1:18">
      <c r="A288">
        <v>287</v>
      </c>
      <c r="B288">
        <v>12</v>
      </c>
      <c r="C288">
        <v>41</v>
      </c>
      <c r="D288">
        <v>1</v>
      </c>
      <c r="E288">
        <v>1</v>
      </c>
      <c r="F288">
        <v>1</v>
      </c>
      <c r="G288" t="s">
        <v>92</v>
      </c>
      <c r="H288">
        <v>1.47</v>
      </c>
      <c r="I288" s="2">
        <v>0.80327999999999999</v>
      </c>
      <c r="J288" s="47">
        <v>3</v>
      </c>
      <c r="K288" t="s">
        <v>2</v>
      </c>
      <c r="L288">
        <v>3</v>
      </c>
      <c r="M288" t="s">
        <v>15</v>
      </c>
      <c r="N288" s="56">
        <v>0</v>
      </c>
      <c r="O288">
        <v>1</v>
      </c>
      <c r="P288">
        <v>0</v>
      </c>
      <c r="Q288">
        <v>0</v>
      </c>
      <c r="R288">
        <v>0</v>
      </c>
    </row>
    <row r="289" spans="1:18">
      <c r="A289">
        <v>288</v>
      </c>
      <c r="B289">
        <v>12</v>
      </c>
      <c r="C289">
        <v>42</v>
      </c>
      <c r="D289">
        <v>1</v>
      </c>
      <c r="E289">
        <v>1</v>
      </c>
      <c r="F289">
        <v>1</v>
      </c>
      <c r="G289" t="s">
        <v>92</v>
      </c>
      <c r="H289">
        <v>1.42</v>
      </c>
      <c r="I289" s="2">
        <v>0.74736999999999998</v>
      </c>
      <c r="J289" s="47">
        <v>4</v>
      </c>
      <c r="K289" t="s">
        <v>5</v>
      </c>
      <c r="L289">
        <v>3</v>
      </c>
      <c r="M289" t="s">
        <v>13</v>
      </c>
      <c r="N289" s="56">
        <v>1</v>
      </c>
      <c r="O289">
        <v>1</v>
      </c>
      <c r="P289">
        <v>1</v>
      </c>
      <c r="Q289">
        <v>0</v>
      </c>
      <c r="R289">
        <v>0</v>
      </c>
    </row>
    <row r="290" spans="1:18">
      <c r="A290">
        <v>289</v>
      </c>
      <c r="B290">
        <v>13</v>
      </c>
      <c r="C290">
        <v>1</v>
      </c>
      <c r="D290">
        <v>4</v>
      </c>
      <c r="E290">
        <v>4</v>
      </c>
      <c r="F290">
        <v>1</v>
      </c>
      <c r="G290" t="s">
        <v>89</v>
      </c>
      <c r="H290">
        <v>0.93</v>
      </c>
      <c r="I290" s="2">
        <v>0.62</v>
      </c>
      <c r="J290" s="47">
        <v>5</v>
      </c>
      <c r="K290" t="s">
        <v>15</v>
      </c>
      <c r="L290">
        <v>1</v>
      </c>
      <c r="M290" t="s">
        <v>15</v>
      </c>
      <c r="N290" s="56">
        <v>0</v>
      </c>
      <c r="O290">
        <v>1</v>
      </c>
      <c r="P290">
        <v>0</v>
      </c>
      <c r="Q290">
        <v>0</v>
      </c>
      <c r="R290">
        <v>0</v>
      </c>
    </row>
    <row r="291" spans="1:18">
      <c r="A291">
        <v>290</v>
      </c>
      <c r="B291">
        <v>13</v>
      </c>
      <c r="C291">
        <v>4</v>
      </c>
      <c r="D291">
        <v>4</v>
      </c>
      <c r="E291">
        <v>1</v>
      </c>
      <c r="F291">
        <v>0</v>
      </c>
      <c r="G291" t="s">
        <v>90</v>
      </c>
      <c r="H291">
        <v>1.02</v>
      </c>
      <c r="I291" s="2">
        <v>0.62577000000000005</v>
      </c>
      <c r="J291" s="47">
        <v>1</v>
      </c>
      <c r="K291" t="s">
        <v>15</v>
      </c>
      <c r="L291">
        <v>1</v>
      </c>
      <c r="M291" t="s">
        <v>15</v>
      </c>
      <c r="N291" s="56">
        <v>0</v>
      </c>
      <c r="O291">
        <v>1</v>
      </c>
      <c r="P291">
        <v>0</v>
      </c>
      <c r="Q291">
        <v>0</v>
      </c>
      <c r="R291">
        <v>0</v>
      </c>
    </row>
    <row r="292" spans="1:18">
      <c r="A292">
        <v>291</v>
      </c>
      <c r="B292">
        <v>13</v>
      </c>
      <c r="C292">
        <v>7</v>
      </c>
      <c r="D292">
        <v>4</v>
      </c>
      <c r="E292">
        <v>4</v>
      </c>
      <c r="F292">
        <v>1</v>
      </c>
      <c r="G292" t="s">
        <v>89</v>
      </c>
      <c r="H292">
        <v>1.18</v>
      </c>
      <c r="I292" s="2">
        <v>0.75158999999999998</v>
      </c>
      <c r="J292" s="47">
        <v>5</v>
      </c>
      <c r="K292" t="s">
        <v>2</v>
      </c>
      <c r="L292">
        <v>3</v>
      </c>
      <c r="M292" t="s">
        <v>15</v>
      </c>
      <c r="N292" s="56">
        <v>0</v>
      </c>
      <c r="O292">
        <v>1</v>
      </c>
      <c r="P292">
        <v>0</v>
      </c>
      <c r="Q292">
        <v>0</v>
      </c>
      <c r="R292">
        <v>0</v>
      </c>
    </row>
    <row r="293" spans="1:18">
      <c r="A293">
        <v>292</v>
      </c>
      <c r="B293">
        <v>13</v>
      </c>
      <c r="C293">
        <v>9</v>
      </c>
      <c r="D293">
        <v>4</v>
      </c>
      <c r="E293">
        <v>4</v>
      </c>
      <c r="F293">
        <v>1</v>
      </c>
      <c r="G293" t="s">
        <v>89</v>
      </c>
      <c r="H293">
        <v>1.38</v>
      </c>
      <c r="I293" s="2">
        <v>0.96503000000000005</v>
      </c>
      <c r="J293" s="47">
        <v>5</v>
      </c>
      <c r="K293" t="s">
        <v>2</v>
      </c>
      <c r="L293">
        <v>3</v>
      </c>
      <c r="M293" t="s">
        <v>15</v>
      </c>
      <c r="N293" s="56">
        <v>0</v>
      </c>
      <c r="O293">
        <v>1</v>
      </c>
      <c r="P293">
        <v>0</v>
      </c>
      <c r="Q293">
        <v>0</v>
      </c>
      <c r="R293">
        <v>0</v>
      </c>
    </row>
    <row r="294" spans="1:18">
      <c r="A294">
        <v>293</v>
      </c>
      <c r="B294">
        <v>13</v>
      </c>
      <c r="C294">
        <v>11</v>
      </c>
      <c r="D294">
        <v>4</v>
      </c>
      <c r="E294">
        <v>1</v>
      </c>
      <c r="F294">
        <v>0</v>
      </c>
      <c r="G294" t="s">
        <v>90</v>
      </c>
      <c r="H294">
        <v>1.75</v>
      </c>
      <c r="I294" s="2">
        <v>0.88832</v>
      </c>
      <c r="J294" s="47">
        <v>1</v>
      </c>
      <c r="K294" t="s">
        <v>5</v>
      </c>
      <c r="L294">
        <v>3</v>
      </c>
      <c r="M294" t="s">
        <v>13</v>
      </c>
      <c r="N294" s="56">
        <v>1</v>
      </c>
      <c r="O294">
        <v>1</v>
      </c>
      <c r="P294">
        <v>1</v>
      </c>
      <c r="Q294">
        <v>0</v>
      </c>
      <c r="R294">
        <v>0</v>
      </c>
    </row>
    <row r="295" spans="1:18">
      <c r="A295">
        <v>294</v>
      </c>
      <c r="B295">
        <v>13</v>
      </c>
      <c r="C295">
        <v>15</v>
      </c>
      <c r="D295">
        <v>4</v>
      </c>
      <c r="E295">
        <v>4</v>
      </c>
      <c r="F295">
        <v>1</v>
      </c>
      <c r="G295" t="s">
        <v>89</v>
      </c>
      <c r="H295">
        <v>1.54</v>
      </c>
      <c r="I295" s="2">
        <v>0.84153</v>
      </c>
      <c r="J295" s="47">
        <v>4</v>
      </c>
      <c r="K295" t="s">
        <v>15</v>
      </c>
      <c r="L295">
        <v>1</v>
      </c>
      <c r="M295" t="s">
        <v>15</v>
      </c>
      <c r="N295" s="56">
        <v>0</v>
      </c>
      <c r="O295">
        <v>1</v>
      </c>
      <c r="P295">
        <v>0</v>
      </c>
      <c r="Q295">
        <v>0</v>
      </c>
      <c r="R295">
        <v>0</v>
      </c>
    </row>
    <row r="296" spans="1:18">
      <c r="A296">
        <v>295</v>
      </c>
      <c r="B296">
        <v>13</v>
      </c>
      <c r="C296">
        <v>16</v>
      </c>
      <c r="D296">
        <v>4</v>
      </c>
      <c r="E296">
        <v>4</v>
      </c>
      <c r="F296">
        <v>1</v>
      </c>
      <c r="G296" t="s">
        <v>89</v>
      </c>
      <c r="H296">
        <v>0.95</v>
      </c>
      <c r="I296" s="2">
        <v>0.56886000000000003</v>
      </c>
      <c r="J296" s="47">
        <v>5</v>
      </c>
      <c r="K296" t="s">
        <v>15</v>
      </c>
      <c r="L296">
        <v>1</v>
      </c>
      <c r="M296" t="s">
        <v>15</v>
      </c>
      <c r="N296" s="56">
        <v>0</v>
      </c>
      <c r="O296">
        <v>1</v>
      </c>
      <c r="P296">
        <v>0</v>
      </c>
      <c r="Q296">
        <v>0</v>
      </c>
      <c r="R296">
        <v>0</v>
      </c>
    </row>
    <row r="297" spans="1:18">
      <c r="A297">
        <v>296</v>
      </c>
      <c r="B297">
        <v>13</v>
      </c>
      <c r="C297">
        <v>17</v>
      </c>
      <c r="D297">
        <v>1</v>
      </c>
      <c r="E297">
        <v>1</v>
      </c>
      <c r="F297">
        <v>1</v>
      </c>
      <c r="G297" t="s">
        <v>92</v>
      </c>
      <c r="H297">
        <v>2.21</v>
      </c>
      <c r="I297" s="2">
        <v>1.105</v>
      </c>
      <c r="J297" s="47">
        <v>2</v>
      </c>
      <c r="K297" t="s">
        <v>5</v>
      </c>
      <c r="L297">
        <v>3</v>
      </c>
      <c r="M297" t="s">
        <v>13</v>
      </c>
      <c r="N297" s="56">
        <v>1</v>
      </c>
      <c r="O297">
        <v>1</v>
      </c>
      <c r="P297">
        <v>1</v>
      </c>
      <c r="Q297">
        <v>0</v>
      </c>
      <c r="R297">
        <v>0</v>
      </c>
    </row>
    <row r="298" spans="1:18">
      <c r="A298">
        <v>297</v>
      </c>
      <c r="B298">
        <v>13</v>
      </c>
      <c r="C298">
        <v>18</v>
      </c>
      <c r="D298">
        <v>1</v>
      </c>
      <c r="E298">
        <v>4</v>
      </c>
      <c r="F298">
        <v>0</v>
      </c>
      <c r="G298" t="s">
        <v>91</v>
      </c>
      <c r="H298">
        <v>1.34</v>
      </c>
      <c r="I298" s="2">
        <v>0.70526</v>
      </c>
      <c r="J298" s="47">
        <v>4</v>
      </c>
      <c r="K298" t="s">
        <v>5</v>
      </c>
      <c r="L298">
        <v>3</v>
      </c>
      <c r="M298" t="s">
        <v>13</v>
      </c>
      <c r="N298" s="56">
        <v>1</v>
      </c>
      <c r="O298">
        <v>1</v>
      </c>
      <c r="P298">
        <v>1</v>
      </c>
      <c r="Q298">
        <v>0</v>
      </c>
      <c r="R298">
        <v>0</v>
      </c>
    </row>
    <row r="299" spans="1:18">
      <c r="A299">
        <v>298</v>
      </c>
      <c r="B299">
        <v>13</v>
      </c>
      <c r="C299">
        <v>19</v>
      </c>
      <c r="D299">
        <v>1</v>
      </c>
      <c r="E299">
        <v>1</v>
      </c>
      <c r="F299">
        <v>1</v>
      </c>
      <c r="G299" t="s">
        <v>92</v>
      </c>
      <c r="H299">
        <v>1.65</v>
      </c>
      <c r="I299" s="2">
        <v>0.88234999999999997</v>
      </c>
      <c r="J299" s="47">
        <v>3</v>
      </c>
      <c r="K299" t="s">
        <v>0</v>
      </c>
      <c r="L299">
        <v>2</v>
      </c>
      <c r="M299" t="s">
        <v>15</v>
      </c>
      <c r="N299" s="56">
        <v>0</v>
      </c>
      <c r="O299">
        <v>1</v>
      </c>
      <c r="P299">
        <v>0</v>
      </c>
      <c r="Q299">
        <v>0</v>
      </c>
      <c r="R299">
        <v>0</v>
      </c>
    </row>
    <row r="300" spans="1:18">
      <c r="A300">
        <v>299</v>
      </c>
      <c r="B300">
        <v>13</v>
      </c>
      <c r="C300">
        <v>23</v>
      </c>
      <c r="D300">
        <v>4</v>
      </c>
      <c r="E300">
        <v>4</v>
      </c>
      <c r="F300">
        <v>1</v>
      </c>
      <c r="G300" t="s">
        <v>89</v>
      </c>
      <c r="H300">
        <v>1.21</v>
      </c>
      <c r="I300" s="2">
        <v>0.71175999999999995</v>
      </c>
      <c r="J300" s="47">
        <v>5</v>
      </c>
      <c r="K300" t="s">
        <v>15</v>
      </c>
      <c r="L300">
        <v>1</v>
      </c>
      <c r="M300" t="s">
        <v>15</v>
      </c>
      <c r="N300" s="56">
        <v>0</v>
      </c>
      <c r="O300">
        <v>1</v>
      </c>
      <c r="P300">
        <v>0</v>
      </c>
      <c r="Q300">
        <v>0</v>
      </c>
      <c r="R300">
        <v>0</v>
      </c>
    </row>
    <row r="301" spans="1:18">
      <c r="A301">
        <v>300</v>
      </c>
      <c r="B301">
        <v>13</v>
      </c>
      <c r="C301">
        <v>24</v>
      </c>
      <c r="D301">
        <v>1</v>
      </c>
      <c r="E301">
        <v>4</v>
      </c>
      <c r="F301">
        <v>0</v>
      </c>
      <c r="G301" t="s">
        <v>91</v>
      </c>
      <c r="H301">
        <v>1.66</v>
      </c>
      <c r="I301" s="2">
        <v>0.84263999999999994</v>
      </c>
      <c r="J301" s="47">
        <v>2</v>
      </c>
      <c r="K301" t="s">
        <v>5</v>
      </c>
      <c r="L301">
        <v>3</v>
      </c>
      <c r="M301" t="s">
        <v>13</v>
      </c>
      <c r="N301" s="56">
        <v>1</v>
      </c>
      <c r="O301">
        <v>1</v>
      </c>
      <c r="P301">
        <v>1</v>
      </c>
      <c r="Q301">
        <v>0</v>
      </c>
      <c r="R301">
        <v>0</v>
      </c>
    </row>
    <row r="302" spans="1:18">
      <c r="A302">
        <v>301</v>
      </c>
      <c r="B302">
        <v>13</v>
      </c>
      <c r="C302">
        <v>26</v>
      </c>
      <c r="D302">
        <v>1</v>
      </c>
      <c r="E302">
        <v>1</v>
      </c>
      <c r="F302">
        <v>1</v>
      </c>
      <c r="G302" t="s">
        <v>92</v>
      </c>
      <c r="H302">
        <v>1.37</v>
      </c>
      <c r="I302" s="2">
        <v>0.70984000000000003</v>
      </c>
      <c r="J302" s="47">
        <v>3</v>
      </c>
      <c r="K302" t="s">
        <v>13</v>
      </c>
      <c r="L302">
        <v>2</v>
      </c>
      <c r="M302" t="s">
        <v>13</v>
      </c>
      <c r="N302" s="56">
        <v>1</v>
      </c>
      <c r="O302">
        <v>1</v>
      </c>
      <c r="P302">
        <v>1</v>
      </c>
      <c r="Q302">
        <v>0</v>
      </c>
      <c r="R302">
        <v>0</v>
      </c>
    </row>
    <row r="303" spans="1:18">
      <c r="A303">
        <v>302</v>
      </c>
      <c r="B303">
        <v>13</v>
      </c>
      <c r="C303">
        <v>27</v>
      </c>
      <c r="D303">
        <v>4</v>
      </c>
      <c r="E303">
        <v>4</v>
      </c>
      <c r="F303">
        <v>1</v>
      </c>
      <c r="G303" t="s">
        <v>89</v>
      </c>
      <c r="H303">
        <v>1.54</v>
      </c>
      <c r="I303" s="2">
        <v>1.0769200000000001</v>
      </c>
      <c r="J303" s="47">
        <v>4</v>
      </c>
      <c r="K303" t="s">
        <v>2</v>
      </c>
      <c r="L303">
        <v>3</v>
      </c>
      <c r="M303" t="s">
        <v>15</v>
      </c>
      <c r="N303" s="56">
        <v>0</v>
      </c>
      <c r="O303">
        <v>1</v>
      </c>
      <c r="P303">
        <v>0</v>
      </c>
      <c r="Q303">
        <v>0</v>
      </c>
      <c r="R303">
        <v>0</v>
      </c>
    </row>
    <row r="304" spans="1:18">
      <c r="A304">
        <v>303</v>
      </c>
      <c r="B304">
        <v>13</v>
      </c>
      <c r="C304">
        <v>28</v>
      </c>
      <c r="D304">
        <v>1</v>
      </c>
      <c r="E304">
        <v>4</v>
      </c>
      <c r="F304">
        <v>0</v>
      </c>
      <c r="G304" t="s">
        <v>91</v>
      </c>
      <c r="H304">
        <v>1.68</v>
      </c>
      <c r="I304" s="2">
        <v>0.89839999999999998</v>
      </c>
      <c r="J304" s="47">
        <v>4</v>
      </c>
      <c r="K304" t="s">
        <v>0</v>
      </c>
      <c r="L304">
        <v>2</v>
      </c>
      <c r="M304" t="s">
        <v>15</v>
      </c>
      <c r="N304" s="56">
        <v>0</v>
      </c>
      <c r="O304">
        <v>1</v>
      </c>
      <c r="P304">
        <v>0</v>
      </c>
      <c r="Q304">
        <v>0</v>
      </c>
      <c r="R304">
        <v>0</v>
      </c>
    </row>
    <row r="305" spans="1:18">
      <c r="A305">
        <v>304</v>
      </c>
      <c r="B305">
        <v>13</v>
      </c>
      <c r="C305">
        <v>29</v>
      </c>
      <c r="D305">
        <v>4</v>
      </c>
      <c r="E305">
        <v>1</v>
      </c>
      <c r="F305">
        <v>0</v>
      </c>
      <c r="G305" t="s">
        <v>90</v>
      </c>
      <c r="H305">
        <v>0.99</v>
      </c>
      <c r="I305" s="2">
        <v>0.59280999999999995</v>
      </c>
      <c r="J305" s="47">
        <v>3</v>
      </c>
      <c r="K305" t="s">
        <v>15</v>
      </c>
      <c r="L305">
        <v>1</v>
      </c>
      <c r="M305" t="s">
        <v>15</v>
      </c>
      <c r="N305" s="56">
        <v>0</v>
      </c>
      <c r="O305">
        <v>1</v>
      </c>
      <c r="P305">
        <v>0</v>
      </c>
      <c r="Q305">
        <v>0</v>
      </c>
      <c r="R305">
        <v>0</v>
      </c>
    </row>
    <row r="306" spans="1:18">
      <c r="A306">
        <v>305</v>
      </c>
      <c r="B306">
        <v>13</v>
      </c>
      <c r="C306">
        <v>30</v>
      </c>
      <c r="D306">
        <v>4</v>
      </c>
      <c r="E306">
        <v>4</v>
      </c>
      <c r="F306">
        <v>1</v>
      </c>
      <c r="G306" t="s">
        <v>89</v>
      </c>
      <c r="H306">
        <v>1.6</v>
      </c>
      <c r="I306" s="2">
        <v>0.94118000000000002</v>
      </c>
      <c r="J306" s="47">
        <v>4</v>
      </c>
      <c r="K306" t="s">
        <v>5</v>
      </c>
      <c r="L306">
        <v>3</v>
      </c>
      <c r="M306" t="s">
        <v>13</v>
      </c>
      <c r="N306" s="56">
        <v>1</v>
      </c>
      <c r="O306">
        <v>1</v>
      </c>
      <c r="P306">
        <v>1</v>
      </c>
      <c r="Q306">
        <v>0</v>
      </c>
      <c r="R306">
        <v>0</v>
      </c>
    </row>
    <row r="307" spans="1:18">
      <c r="A307">
        <v>306</v>
      </c>
      <c r="B307">
        <v>13</v>
      </c>
      <c r="C307">
        <v>34</v>
      </c>
      <c r="D307">
        <v>1</v>
      </c>
      <c r="E307">
        <v>4</v>
      </c>
      <c r="F307">
        <v>0</v>
      </c>
      <c r="G307" t="s">
        <v>91</v>
      </c>
      <c r="H307">
        <v>1.47</v>
      </c>
      <c r="I307" s="2">
        <v>0.71013999999999999</v>
      </c>
      <c r="J307" s="47">
        <v>3</v>
      </c>
      <c r="K307" t="s">
        <v>15</v>
      </c>
      <c r="L307">
        <v>1</v>
      </c>
      <c r="M307" t="s">
        <v>15</v>
      </c>
      <c r="N307" s="56">
        <v>0</v>
      </c>
      <c r="O307">
        <v>1</v>
      </c>
      <c r="P307">
        <v>0</v>
      </c>
      <c r="Q307">
        <v>0</v>
      </c>
      <c r="R307">
        <v>0</v>
      </c>
    </row>
    <row r="308" spans="1:18">
      <c r="A308">
        <v>307</v>
      </c>
      <c r="B308">
        <v>13</v>
      </c>
      <c r="C308">
        <v>35</v>
      </c>
      <c r="D308">
        <v>1</v>
      </c>
      <c r="E308">
        <v>1</v>
      </c>
      <c r="F308">
        <v>1</v>
      </c>
      <c r="G308" t="s">
        <v>92</v>
      </c>
      <c r="H308">
        <v>1.72</v>
      </c>
      <c r="I308" s="2">
        <v>0.91979</v>
      </c>
      <c r="J308" s="47">
        <v>1</v>
      </c>
      <c r="K308" t="s">
        <v>0</v>
      </c>
      <c r="L308">
        <v>2</v>
      </c>
      <c r="M308" t="s">
        <v>15</v>
      </c>
      <c r="N308" s="56">
        <v>0</v>
      </c>
      <c r="O308">
        <v>1</v>
      </c>
      <c r="P308">
        <v>0</v>
      </c>
      <c r="Q308">
        <v>0</v>
      </c>
      <c r="R308">
        <v>0</v>
      </c>
    </row>
    <row r="309" spans="1:18">
      <c r="A309">
        <v>308</v>
      </c>
      <c r="B309">
        <v>13</v>
      </c>
      <c r="C309">
        <v>36</v>
      </c>
      <c r="D309">
        <v>1</v>
      </c>
      <c r="E309">
        <v>1</v>
      </c>
      <c r="F309">
        <v>1</v>
      </c>
      <c r="G309" t="s">
        <v>92</v>
      </c>
      <c r="H309">
        <v>0.83</v>
      </c>
      <c r="I309" s="2">
        <v>0.44385000000000002</v>
      </c>
      <c r="J309" s="47">
        <v>4</v>
      </c>
      <c r="K309" t="s">
        <v>15</v>
      </c>
      <c r="L309">
        <v>1</v>
      </c>
      <c r="M309" t="s">
        <v>15</v>
      </c>
      <c r="N309" s="56">
        <v>0</v>
      </c>
      <c r="O309">
        <v>1</v>
      </c>
      <c r="P309">
        <v>0</v>
      </c>
      <c r="Q309">
        <v>0</v>
      </c>
      <c r="R309">
        <v>0</v>
      </c>
    </row>
    <row r="310" spans="1:18">
      <c r="A310">
        <v>309</v>
      </c>
      <c r="B310">
        <v>13</v>
      </c>
      <c r="C310">
        <v>37</v>
      </c>
      <c r="D310">
        <v>4</v>
      </c>
      <c r="E310">
        <v>4</v>
      </c>
      <c r="F310">
        <v>1</v>
      </c>
      <c r="G310" t="s">
        <v>89</v>
      </c>
      <c r="H310">
        <v>1.31</v>
      </c>
      <c r="I310" s="2">
        <v>0.74011000000000005</v>
      </c>
      <c r="J310" s="47">
        <v>4</v>
      </c>
      <c r="K310" t="s">
        <v>0</v>
      </c>
      <c r="L310">
        <v>2</v>
      </c>
      <c r="M310" t="s">
        <v>15</v>
      </c>
      <c r="N310" s="56">
        <v>0</v>
      </c>
      <c r="O310">
        <v>1</v>
      </c>
      <c r="P310">
        <v>0</v>
      </c>
      <c r="Q310">
        <v>0</v>
      </c>
      <c r="R310">
        <v>0</v>
      </c>
    </row>
    <row r="311" spans="1:18">
      <c r="A311">
        <v>310</v>
      </c>
      <c r="B311">
        <v>13</v>
      </c>
      <c r="C311">
        <v>39</v>
      </c>
      <c r="D311">
        <v>1</v>
      </c>
      <c r="E311">
        <v>1</v>
      </c>
      <c r="F311">
        <v>1</v>
      </c>
      <c r="G311" t="s">
        <v>92</v>
      </c>
      <c r="H311">
        <v>1.74</v>
      </c>
      <c r="I311" s="2">
        <v>0.93047999999999997</v>
      </c>
      <c r="J311" s="47">
        <v>2</v>
      </c>
      <c r="K311" t="s">
        <v>0</v>
      </c>
      <c r="L311">
        <v>2</v>
      </c>
      <c r="M311" t="s">
        <v>15</v>
      </c>
      <c r="N311" s="56">
        <v>0</v>
      </c>
      <c r="O311">
        <v>1</v>
      </c>
      <c r="P311">
        <v>0</v>
      </c>
      <c r="Q311">
        <v>0</v>
      </c>
      <c r="R311">
        <v>0</v>
      </c>
    </row>
    <row r="312" spans="1:18">
      <c r="A312">
        <v>311</v>
      </c>
      <c r="B312">
        <v>13</v>
      </c>
      <c r="C312">
        <v>41</v>
      </c>
      <c r="D312">
        <v>1</v>
      </c>
      <c r="E312">
        <v>4</v>
      </c>
      <c r="F312">
        <v>0</v>
      </c>
      <c r="G312" t="s">
        <v>91</v>
      </c>
      <c r="H312">
        <v>1.71</v>
      </c>
      <c r="I312" s="2">
        <v>0.93442999999999998</v>
      </c>
      <c r="J312" s="47">
        <v>3</v>
      </c>
      <c r="K312" t="s">
        <v>0</v>
      </c>
      <c r="L312">
        <v>2</v>
      </c>
      <c r="M312" t="s">
        <v>15</v>
      </c>
      <c r="N312" s="56">
        <v>0</v>
      </c>
      <c r="O312">
        <v>1</v>
      </c>
      <c r="P312">
        <v>0</v>
      </c>
      <c r="Q312">
        <v>0</v>
      </c>
      <c r="R312">
        <v>0</v>
      </c>
    </row>
    <row r="313" spans="1:18">
      <c r="A313">
        <v>312</v>
      </c>
      <c r="B313">
        <v>13</v>
      </c>
      <c r="C313">
        <v>42</v>
      </c>
      <c r="D313">
        <v>1</v>
      </c>
      <c r="E313">
        <v>4</v>
      </c>
      <c r="F313">
        <v>0</v>
      </c>
      <c r="G313" t="s">
        <v>91</v>
      </c>
      <c r="H313">
        <v>1.45</v>
      </c>
      <c r="I313" s="2">
        <v>0.76315999999999995</v>
      </c>
      <c r="J313" s="47">
        <v>2</v>
      </c>
      <c r="K313" t="s">
        <v>5</v>
      </c>
      <c r="L313">
        <v>3</v>
      </c>
      <c r="M313" t="s">
        <v>13</v>
      </c>
      <c r="N313" s="56">
        <v>1</v>
      </c>
      <c r="O313">
        <v>1</v>
      </c>
      <c r="P313">
        <v>1</v>
      </c>
      <c r="Q313">
        <v>0</v>
      </c>
      <c r="R313">
        <v>0</v>
      </c>
    </row>
    <row r="314" spans="1:18">
      <c r="A314">
        <v>313</v>
      </c>
      <c r="B314">
        <v>14</v>
      </c>
      <c r="C314">
        <v>1</v>
      </c>
      <c r="D314">
        <v>4</v>
      </c>
      <c r="G314" t="s">
        <v>88</v>
      </c>
      <c r="I314" s="2"/>
      <c r="J314" s="47"/>
      <c r="N314" s="56"/>
    </row>
    <row r="315" spans="1:18">
      <c r="A315">
        <v>314</v>
      </c>
      <c r="B315">
        <v>14</v>
      </c>
      <c r="C315">
        <v>4</v>
      </c>
      <c r="D315">
        <v>4</v>
      </c>
      <c r="E315">
        <v>4</v>
      </c>
      <c r="F315">
        <v>1</v>
      </c>
      <c r="G315" t="s">
        <v>89</v>
      </c>
      <c r="H315">
        <v>1.73</v>
      </c>
      <c r="I315" s="2">
        <v>1.06135</v>
      </c>
      <c r="J315" s="47">
        <v>2</v>
      </c>
      <c r="K315" t="s">
        <v>56</v>
      </c>
      <c r="L315">
        <v>4</v>
      </c>
      <c r="M315" t="s">
        <v>46</v>
      </c>
      <c r="N315" s="56">
        <v>2</v>
      </c>
      <c r="O315">
        <v>1</v>
      </c>
      <c r="P315">
        <v>1</v>
      </c>
      <c r="Q315">
        <v>1</v>
      </c>
      <c r="R315">
        <v>0</v>
      </c>
    </row>
    <row r="316" spans="1:18">
      <c r="A316">
        <v>315</v>
      </c>
      <c r="B316">
        <v>14</v>
      </c>
      <c r="C316">
        <v>7</v>
      </c>
      <c r="D316">
        <v>4</v>
      </c>
      <c r="E316">
        <v>1</v>
      </c>
      <c r="F316">
        <v>0</v>
      </c>
      <c r="G316" t="s">
        <v>90</v>
      </c>
      <c r="H316">
        <v>1.41</v>
      </c>
      <c r="I316" s="2">
        <v>0.89809000000000005</v>
      </c>
      <c r="J316" s="47">
        <v>1</v>
      </c>
      <c r="K316" t="s">
        <v>57</v>
      </c>
      <c r="L316">
        <v>5</v>
      </c>
      <c r="M316" t="s">
        <v>38</v>
      </c>
      <c r="N316" s="56">
        <v>1</v>
      </c>
      <c r="O316">
        <v>1</v>
      </c>
      <c r="P316">
        <v>0</v>
      </c>
      <c r="Q316">
        <v>1</v>
      </c>
      <c r="R316">
        <v>0</v>
      </c>
    </row>
    <row r="317" spans="1:18">
      <c r="A317">
        <v>316</v>
      </c>
      <c r="B317">
        <v>14</v>
      </c>
      <c r="C317">
        <v>9</v>
      </c>
      <c r="D317">
        <v>4</v>
      </c>
      <c r="E317">
        <v>4</v>
      </c>
      <c r="F317">
        <v>1</v>
      </c>
      <c r="G317" t="s">
        <v>89</v>
      </c>
      <c r="H317">
        <v>1.42</v>
      </c>
      <c r="I317" s="2">
        <v>0.99300999999999995</v>
      </c>
      <c r="J317" s="47">
        <v>4</v>
      </c>
      <c r="K317" t="s">
        <v>40</v>
      </c>
      <c r="L317">
        <v>5</v>
      </c>
      <c r="M317" t="s">
        <v>36</v>
      </c>
      <c r="N317" s="56">
        <v>2</v>
      </c>
      <c r="O317">
        <v>1</v>
      </c>
      <c r="P317">
        <v>1</v>
      </c>
      <c r="Q317">
        <v>1</v>
      </c>
      <c r="R317">
        <v>0</v>
      </c>
    </row>
    <row r="318" spans="1:18">
      <c r="A318">
        <v>317</v>
      </c>
      <c r="B318">
        <v>14</v>
      </c>
      <c r="C318">
        <v>11</v>
      </c>
      <c r="D318">
        <v>4</v>
      </c>
      <c r="E318">
        <v>4</v>
      </c>
      <c r="F318">
        <v>1</v>
      </c>
      <c r="G318" t="s">
        <v>89</v>
      </c>
      <c r="H318">
        <v>2</v>
      </c>
      <c r="I318" s="2">
        <v>1.0152300000000001</v>
      </c>
      <c r="J318" s="47">
        <v>3</v>
      </c>
      <c r="K318" t="s">
        <v>46</v>
      </c>
      <c r="L318">
        <v>3</v>
      </c>
      <c r="M318" t="s">
        <v>46</v>
      </c>
      <c r="N318" s="56">
        <v>2</v>
      </c>
      <c r="O318">
        <v>1</v>
      </c>
      <c r="P318">
        <v>1</v>
      </c>
      <c r="Q318">
        <v>1</v>
      </c>
      <c r="R318">
        <v>0</v>
      </c>
    </row>
    <row r="319" spans="1:18">
      <c r="A319">
        <v>318</v>
      </c>
      <c r="B319">
        <v>14</v>
      </c>
      <c r="C319">
        <v>15</v>
      </c>
      <c r="D319">
        <v>4</v>
      </c>
      <c r="E319">
        <v>4</v>
      </c>
      <c r="F319">
        <v>1</v>
      </c>
      <c r="G319" t="s">
        <v>89</v>
      </c>
      <c r="H319">
        <v>2.0099999999999998</v>
      </c>
      <c r="I319" s="2">
        <v>1.09836</v>
      </c>
      <c r="J319" s="47">
        <v>5</v>
      </c>
      <c r="K319" t="s">
        <v>26</v>
      </c>
      <c r="L319">
        <v>3</v>
      </c>
      <c r="M319" t="s">
        <v>38</v>
      </c>
      <c r="N319" s="56">
        <v>1</v>
      </c>
      <c r="O319">
        <v>1</v>
      </c>
      <c r="P319">
        <v>0</v>
      </c>
      <c r="Q319">
        <v>1</v>
      </c>
      <c r="R319">
        <v>0</v>
      </c>
    </row>
    <row r="320" spans="1:18">
      <c r="A320">
        <v>319</v>
      </c>
      <c r="B320">
        <v>14</v>
      </c>
      <c r="C320">
        <v>16</v>
      </c>
      <c r="D320">
        <v>4</v>
      </c>
      <c r="E320">
        <v>4</v>
      </c>
      <c r="F320">
        <v>1</v>
      </c>
      <c r="G320" t="s">
        <v>89</v>
      </c>
      <c r="H320">
        <v>1.85</v>
      </c>
      <c r="I320" s="2">
        <v>1.10778</v>
      </c>
      <c r="J320" s="47">
        <v>3</v>
      </c>
      <c r="K320" t="s">
        <v>58</v>
      </c>
      <c r="L320">
        <v>4</v>
      </c>
      <c r="M320" t="s">
        <v>58</v>
      </c>
      <c r="N320" s="56">
        <v>3</v>
      </c>
      <c r="O320">
        <v>1</v>
      </c>
      <c r="P320">
        <v>1</v>
      </c>
      <c r="Q320">
        <v>1</v>
      </c>
      <c r="R320">
        <v>0</v>
      </c>
    </row>
    <row r="321" spans="1:18">
      <c r="A321">
        <v>320</v>
      </c>
      <c r="B321">
        <v>14</v>
      </c>
      <c r="C321">
        <v>17</v>
      </c>
      <c r="D321">
        <v>1</v>
      </c>
      <c r="E321">
        <v>1</v>
      </c>
      <c r="F321">
        <v>1</v>
      </c>
      <c r="G321" t="s">
        <v>92</v>
      </c>
      <c r="H321">
        <v>2.0699999999999998</v>
      </c>
      <c r="I321" s="2">
        <v>1.0349999999999999</v>
      </c>
      <c r="J321" s="47">
        <v>2</v>
      </c>
      <c r="K321" t="s">
        <v>36</v>
      </c>
      <c r="L321">
        <v>3</v>
      </c>
      <c r="M321" t="s">
        <v>36</v>
      </c>
      <c r="N321" s="56">
        <v>1</v>
      </c>
      <c r="O321">
        <v>1</v>
      </c>
      <c r="P321">
        <v>1</v>
      </c>
      <c r="Q321">
        <v>1</v>
      </c>
      <c r="R321">
        <v>0</v>
      </c>
    </row>
    <row r="322" spans="1:18">
      <c r="A322">
        <v>321</v>
      </c>
      <c r="B322">
        <v>14</v>
      </c>
      <c r="C322">
        <v>18</v>
      </c>
      <c r="D322">
        <v>1</v>
      </c>
      <c r="E322">
        <v>4</v>
      </c>
      <c r="F322">
        <v>0</v>
      </c>
      <c r="G322" t="s">
        <v>91</v>
      </c>
      <c r="H322">
        <v>1.65</v>
      </c>
      <c r="I322" s="2">
        <v>0.86841999999999997</v>
      </c>
      <c r="J322" s="47">
        <v>4</v>
      </c>
      <c r="K322" t="s">
        <v>42</v>
      </c>
      <c r="L322">
        <v>3</v>
      </c>
      <c r="M322" t="s">
        <v>13</v>
      </c>
      <c r="N322" s="56">
        <v>1</v>
      </c>
      <c r="O322">
        <v>1</v>
      </c>
      <c r="P322">
        <v>1</v>
      </c>
      <c r="Q322">
        <v>0</v>
      </c>
      <c r="R322">
        <v>0</v>
      </c>
    </row>
    <row r="323" spans="1:18">
      <c r="A323">
        <v>322</v>
      </c>
      <c r="B323">
        <v>14</v>
      </c>
      <c r="C323">
        <v>19</v>
      </c>
      <c r="D323">
        <v>1</v>
      </c>
      <c r="E323">
        <v>1</v>
      </c>
      <c r="F323">
        <v>1</v>
      </c>
      <c r="G323" t="s">
        <v>92</v>
      </c>
      <c r="H323">
        <v>1.63</v>
      </c>
      <c r="I323" s="2">
        <v>0.87165999999999999</v>
      </c>
      <c r="J323" s="47">
        <v>5</v>
      </c>
      <c r="K323" t="s">
        <v>31</v>
      </c>
      <c r="L323">
        <v>2</v>
      </c>
      <c r="M323" t="s">
        <v>31</v>
      </c>
      <c r="N323" s="56">
        <v>1</v>
      </c>
      <c r="O323">
        <v>1</v>
      </c>
      <c r="P323">
        <v>0</v>
      </c>
      <c r="Q323">
        <v>0</v>
      </c>
      <c r="R323">
        <v>1</v>
      </c>
    </row>
    <row r="324" spans="1:18">
      <c r="A324">
        <v>323</v>
      </c>
      <c r="B324">
        <v>14</v>
      </c>
      <c r="C324">
        <v>23</v>
      </c>
      <c r="D324">
        <v>4</v>
      </c>
      <c r="E324">
        <v>1</v>
      </c>
      <c r="F324">
        <v>0</v>
      </c>
      <c r="G324" t="s">
        <v>90</v>
      </c>
      <c r="H324">
        <v>1.78</v>
      </c>
      <c r="I324" s="2">
        <v>1.0470600000000001</v>
      </c>
      <c r="J324" s="47">
        <v>4</v>
      </c>
      <c r="K324" t="s">
        <v>14</v>
      </c>
      <c r="L324">
        <v>3</v>
      </c>
      <c r="M324" t="s">
        <v>14</v>
      </c>
      <c r="N324" s="56">
        <v>2</v>
      </c>
      <c r="O324">
        <v>1</v>
      </c>
      <c r="P324">
        <v>1</v>
      </c>
      <c r="Q324">
        <v>0</v>
      </c>
      <c r="R324">
        <v>1</v>
      </c>
    </row>
    <row r="325" spans="1:18">
      <c r="A325">
        <v>324</v>
      </c>
      <c r="B325">
        <v>14</v>
      </c>
      <c r="C325">
        <v>24</v>
      </c>
      <c r="D325">
        <v>1</v>
      </c>
      <c r="E325">
        <v>1</v>
      </c>
      <c r="F325">
        <v>1</v>
      </c>
      <c r="G325" t="s">
        <v>92</v>
      </c>
      <c r="H325">
        <v>1.78</v>
      </c>
      <c r="I325" s="2">
        <v>0.90354999999999996</v>
      </c>
      <c r="J325" s="47">
        <v>5</v>
      </c>
      <c r="K325" t="s">
        <v>42</v>
      </c>
      <c r="L325">
        <v>3</v>
      </c>
      <c r="M325" t="s">
        <v>13</v>
      </c>
      <c r="N325" s="56">
        <v>1</v>
      </c>
      <c r="O325">
        <v>1</v>
      </c>
      <c r="P325">
        <v>1</v>
      </c>
      <c r="Q325">
        <v>0</v>
      </c>
      <c r="R325">
        <v>0</v>
      </c>
    </row>
    <row r="326" spans="1:18">
      <c r="A326">
        <v>325</v>
      </c>
      <c r="B326">
        <v>14</v>
      </c>
      <c r="C326">
        <v>26</v>
      </c>
      <c r="D326">
        <v>1</v>
      </c>
      <c r="E326">
        <v>1</v>
      </c>
      <c r="F326">
        <v>1</v>
      </c>
      <c r="G326" t="s">
        <v>92</v>
      </c>
      <c r="H326">
        <v>1.68</v>
      </c>
      <c r="I326" s="2">
        <v>0.87046999999999997</v>
      </c>
      <c r="J326" s="47">
        <v>5</v>
      </c>
      <c r="K326" t="s">
        <v>42</v>
      </c>
      <c r="L326">
        <v>3</v>
      </c>
      <c r="M326" t="s">
        <v>13</v>
      </c>
      <c r="N326" s="56">
        <v>1</v>
      </c>
      <c r="O326">
        <v>1</v>
      </c>
      <c r="P326">
        <v>1</v>
      </c>
      <c r="Q326">
        <v>0</v>
      </c>
      <c r="R326">
        <v>0</v>
      </c>
    </row>
    <row r="327" spans="1:18">
      <c r="A327">
        <v>326</v>
      </c>
      <c r="B327">
        <v>14</v>
      </c>
      <c r="C327">
        <v>27</v>
      </c>
      <c r="D327">
        <v>4</v>
      </c>
      <c r="E327">
        <v>1</v>
      </c>
      <c r="F327">
        <v>0</v>
      </c>
      <c r="G327" t="s">
        <v>90</v>
      </c>
      <c r="H327">
        <v>1.48</v>
      </c>
      <c r="I327" s="2">
        <v>1.0349699999999999</v>
      </c>
      <c r="J327" s="47">
        <v>4</v>
      </c>
      <c r="K327" t="s">
        <v>59</v>
      </c>
      <c r="L327">
        <v>5</v>
      </c>
      <c r="M327" t="s">
        <v>13</v>
      </c>
      <c r="N327" s="56">
        <v>1</v>
      </c>
      <c r="O327">
        <v>1</v>
      </c>
      <c r="P327">
        <v>1</v>
      </c>
      <c r="Q327">
        <v>0</v>
      </c>
      <c r="R327">
        <v>0</v>
      </c>
    </row>
    <row r="328" spans="1:18">
      <c r="A328">
        <v>327</v>
      </c>
      <c r="B328">
        <v>14</v>
      </c>
      <c r="C328">
        <v>28</v>
      </c>
      <c r="D328">
        <v>1</v>
      </c>
      <c r="E328">
        <v>1</v>
      </c>
      <c r="F328">
        <v>1</v>
      </c>
      <c r="G328" t="s">
        <v>92</v>
      </c>
      <c r="H328">
        <v>1.7</v>
      </c>
      <c r="I328" s="2">
        <v>0.90908999999999995</v>
      </c>
      <c r="J328" s="47">
        <v>3</v>
      </c>
      <c r="K328" t="s">
        <v>60</v>
      </c>
      <c r="L328">
        <v>3</v>
      </c>
      <c r="M328" t="s">
        <v>60</v>
      </c>
      <c r="N328" s="56">
        <v>2</v>
      </c>
      <c r="O328">
        <v>1</v>
      </c>
      <c r="P328">
        <v>0</v>
      </c>
      <c r="Q328">
        <v>1</v>
      </c>
      <c r="R328">
        <v>0</v>
      </c>
    </row>
    <row r="329" spans="1:18">
      <c r="A329">
        <v>328</v>
      </c>
      <c r="B329">
        <v>14</v>
      </c>
      <c r="C329">
        <v>29</v>
      </c>
      <c r="D329">
        <v>4</v>
      </c>
      <c r="E329">
        <v>4</v>
      </c>
      <c r="F329">
        <v>1</v>
      </c>
      <c r="G329" t="s">
        <v>89</v>
      </c>
      <c r="H329">
        <v>1.61</v>
      </c>
      <c r="I329" s="2">
        <v>0.96406999999999998</v>
      </c>
      <c r="J329" s="47">
        <v>1</v>
      </c>
      <c r="K329" t="s">
        <v>46</v>
      </c>
      <c r="L329">
        <v>3</v>
      </c>
      <c r="M329" t="s">
        <v>46</v>
      </c>
      <c r="N329" s="56">
        <v>2</v>
      </c>
      <c r="O329">
        <v>1</v>
      </c>
      <c r="P329">
        <v>1</v>
      </c>
      <c r="Q329">
        <v>1</v>
      </c>
      <c r="R329">
        <v>0</v>
      </c>
    </row>
    <row r="330" spans="1:18">
      <c r="A330">
        <v>329</v>
      </c>
      <c r="B330">
        <v>14</v>
      </c>
      <c r="C330">
        <v>30</v>
      </c>
      <c r="D330">
        <v>4</v>
      </c>
      <c r="G330" t="s">
        <v>88</v>
      </c>
      <c r="I330" s="2"/>
      <c r="J330" s="47"/>
      <c r="N330" s="56"/>
    </row>
    <row r="331" spans="1:18">
      <c r="A331">
        <v>330</v>
      </c>
      <c r="B331">
        <v>14</v>
      </c>
      <c r="C331">
        <v>34</v>
      </c>
      <c r="D331">
        <v>1</v>
      </c>
      <c r="E331">
        <v>1</v>
      </c>
      <c r="F331">
        <v>1</v>
      </c>
      <c r="G331" t="s">
        <v>92</v>
      </c>
      <c r="H331">
        <v>2.0499999999999998</v>
      </c>
      <c r="I331" s="2">
        <v>0.99034</v>
      </c>
      <c r="J331" s="47">
        <v>5</v>
      </c>
      <c r="K331" t="s">
        <v>26</v>
      </c>
      <c r="L331">
        <v>3</v>
      </c>
      <c r="M331" t="s">
        <v>38</v>
      </c>
      <c r="N331" s="56">
        <v>1</v>
      </c>
      <c r="O331">
        <v>1</v>
      </c>
      <c r="P331">
        <v>0</v>
      </c>
      <c r="Q331">
        <v>1</v>
      </c>
      <c r="R331">
        <v>0</v>
      </c>
    </row>
    <row r="332" spans="1:18">
      <c r="A332">
        <v>331</v>
      </c>
      <c r="B332">
        <v>14</v>
      </c>
      <c r="C332">
        <v>35</v>
      </c>
      <c r="D332">
        <v>1</v>
      </c>
      <c r="E332">
        <v>4</v>
      </c>
      <c r="F332">
        <v>0</v>
      </c>
      <c r="G332" t="s">
        <v>91</v>
      </c>
      <c r="H332">
        <v>2</v>
      </c>
      <c r="I332" s="2">
        <v>1.06952</v>
      </c>
      <c r="J332" s="47">
        <v>4</v>
      </c>
      <c r="K332" t="s">
        <v>26</v>
      </c>
      <c r="L332">
        <v>3</v>
      </c>
      <c r="M332" t="s">
        <v>38</v>
      </c>
      <c r="N332" s="56">
        <v>1</v>
      </c>
      <c r="O332">
        <v>1</v>
      </c>
      <c r="P332">
        <v>0</v>
      </c>
      <c r="Q332">
        <v>1</v>
      </c>
      <c r="R332">
        <v>0</v>
      </c>
    </row>
    <row r="333" spans="1:18">
      <c r="A333">
        <v>332</v>
      </c>
      <c r="B333">
        <v>14</v>
      </c>
      <c r="C333">
        <v>36</v>
      </c>
      <c r="D333">
        <v>1</v>
      </c>
      <c r="E333">
        <v>1</v>
      </c>
      <c r="F333">
        <v>1</v>
      </c>
      <c r="G333" t="s">
        <v>92</v>
      </c>
      <c r="H333">
        <v>1.31</v>
      </c>
      <c r="I333" s="2">
        <v>0.70052999999999999</v>
      </c>
      <c r="J333" s="47">
        <v>5</v>
      </c>
      <c r="K333" t="s">
        <v>5</v>
      </c>
      <c r="L333">
        <v>3</v>
      </c>
      <c r="M333" t="s">
        <v>13</v>
      </c>
      <c r="N333" s="56">
        <v>1</v>
      </c>
      <c r="O333">
        <v>1</v>
      </c>
      <c r="P333">
        <v>1</v>
      </c>
      <c r="Q333">
        <v>0</v>
      </c>
      <c r="R333">
        <v>0</v>
      </c>
    </row>
    <row r="334" spans="1:18">
      <c r="A334">
        <v>333</v>
      </c>
      <c r="B334">
        <v>14</v>
      </c>
      <c r="C334">
        <v>37</v>
      </c>
      <c r="D334">
        <v>4</v>
      </c>
      <c r="E334">
        <v>4</v>
      </c>
      <c r="F334">
        <v>1</v>
      </c>
      <c r="G334" t="s">
        <v>89</v>
      </c>
      <c r="H334">
        <v>1.81</v>
      </c>
      <c r="I334" s="2">
        <v>1.0226</v>
      </c>
      <c r="J334" s="47">
        <v>3</v>
      </c>
      <c r="K334" t="s">
        <v>0</v>
      </c>
      <c r="L334">
        <v>2</v>
      </c>
      <c r="M334" t="s">
        <v>15</v>
      </c>
      <c r="N334" s="56">
        <v>0</v>
      </c>
      <c r="O334">
        <v>1</v>
      </c>
      <c r="P334">
        <v>0</v>
      </c>
      <c r="Q334">
        <v>0</v>
      </c>
      <c r="R334">
        <v>0</v>
      </c>
    </row>
    <row r="335" spans="1:18">
      <c r="A335">
        <v>334</v>
      </c>
      <c r="B335">
        <v>14</v>
      </c>
      <c r="C335">
        <v>39</v>
      </c>
      <c r="D335">
        <v>1</v>
      </c>
      <c r="E335">
        <v>1</v>
      </c>
      <c r="F335">
        <v>1</v>
      </c>
      <c r="G335" t="s">
        <v>92</v>
      </c>
      <c r="H335">
        <v>1.7</v>
      </c>
      <c r="I335" s="2">
        <v>0.90908999999999995</v>
      </c>
      <c r="J335" s="47">
        <v>3</v>
      </c>
      <c r="K335" t="s">
        <v>0</v>
      </c>
      <c r="L335">
        <v>2</v>
      </c>
      <c r="M335" t="s">
        <v>15</v>
      </c>
      <c r="N335" s="56">
        <v>0</v>
      </c>
      <c r="O335">
        <v>1</v>
      </c>
      <c r="P335">
        <v>0</v>
      </c>
      <c r="Q335">
        <v>0</v>
      </c>
      <c r="R335">
        <v>0</v>
      </c>
    </row>
    <row r="336" spans="1:18">
      <c r="A336">
        <v>335</v>
      </c>
      <c r="B336">
        <v>14</v>
      </c>
      <c r="C336">
        <v>41</v>
      </c>
      <c r="D336">
        <v>1</v>
      </c>
      <c r="E336">
        <v>4</v>
      </c>
      <c r="F336">
        <v>0</v>
      </c>
      <c r="G336" t="s">
        <v>91</v>
      </c>
      <c r="H336">
        <v>1.98</v>
      </c>
      <c r="I336" s="2">
        <v>1.0819700000000001</v>
      </c>
      <c r="J336" s="47">
        <v>1</v>
      </c>
      <c r="K336" t="s">
        <v>5</v>
      </c>
      <c r="L336">
        <v>3</v>
      </c>
      <c r="M336" t="s">
        <v>13</v>
      </c>
      <c r="N336" s="56">
        <v>1</v>
      </c>
      <c r="O336">
        <v>1</v>
      </c>
      <c r="P336">
        <v>1</v>
      </c>
      <c r="Q336">
        <v>0</v>
      </c>
      <c r="R336">
        <v>0</v>
      </c>
    </row>
    <row r="337" spans="1:18">
      <c r="A337">
        <v>336</v>
      </c>
      <c r="B337">
        <v>14</v>
      </c>
      <c r="C337">
        <v>42</v>
      </c>
      <c r="D337">
        <v>1</v>
      </c>
      <c r="E337">
        <v>1</v>
      </c>
      <c r="F337">
        <v>1</v>
      </c>
      <c r="G337" t="s">
        <v>92</v>
      </c>
      <c r="H337">
        <v>1.84</v>
      </c>
      <c r="I337" s="2">
        <v>0.96841999999999995</v>
      </c>
      <c r="J337" s="47">
        <v>2</v>
      </c>
      <c r="K337" t="s">
        <v>39</v>
      </c>
      <c r="L337">
        <v>4</v>
      </c>
      <c r="M337" t="s">
        <v>13</v>
      </c>
      <c r="N337" s="56">
        <v>1</v>
      </c>
      <c r="O337">
        <v>1</v>
      </c>
      <c r="P337">
        <v>1</v>
      </c>
      <c r="Q337">
        <v>0</v>
      </c>
      <c r="R337">
        <v>0</v>
      </c>
    </row>
    <row r="338" spans="1:18">
      <c r="A338">
        <v>337</v>
      </c>
      <c r="B338">
        <v>15</v>
      </c>
      <c r="C338">
        <v>1</v>
      </c>
      <c r="D338">
        <v>4</v>
      </c>
      <c r="E338">
        <v>4</v>
      </c>
      <c r="F338">
        <v>1</v>
      </c>
      <c r="G338" t="s">
        <v>89</v>
      </c>
      <c r="H338">
        <v>1.57</v>
      </c>
      <c r="I338" s="2">
        <v>1.04667</v>
      </c>
      <c r="J338" s="47">
        <v>5</v>
      </c>
      <c r="K338" t="s">
        <v>5</v>
      </c>
      <c r="L338">
        <v>3</v>
      </c>
      <c r="M338" t="s">
        <v>13</v>
      </c>
      <c r="N338" s="56">
        <v>1</v>
      </c>
      <c r="O338">
        <v>1</v>
      </c>
      <c r="P338">
        <v>1</v>
      </c>
      <c r="Q338">
        <v>0</v>
      </c>
      <c r="R338">
        <v>0</v>
      </c>
    </row>
    <row r="339" spans="1:18">
      <c r="A339">
        <v>338</v>
      </c>
      <c r="B339">
        <v>15</v>
      </c>
      <c r="C339">
        <v>4</v>
      </c>
      <c r="D339">
        <v>4</v>
      </c>
      <c r="E339">
        <v>4</v>
      </c>
      <c r="F339">
        <v>1</v>
      </c>
      <c r="G339" t="s">
        <v>89</v>
      </c>
      <c r="H339">
        <v>1.7</v>
      </c>
      <c r="I339" s="2">
        <v>1.04294</v>
      </c>
      <c r="J339" s="47">
        <v>3</v>
      </c>
      <c r="K339" t="s">
        <v>20</v>
      </c>
      <c r="L339">
        <v>4</v>
      </c>
      <c r="M339" t="s">
        <v>13</v>
      </c>
      <c r="N339" s="56">
        <v>1</v>
      </c>
      <c r="O339">
        <v>1</v>
      </c>
      <c r="P339">
        <v>1</v>
      </c>
      <c r="Q339">
        <v>0</v>
      </c>
      <c r="R339">
        <v>0</v>
      </c>
    </row>
    <row r="340" spans="1:18">
      <c r="A340">
        <v>339</v>
      </c>
      <c r="B340">
        <v>15</v>
      </c>
      <c r="C340">
        <v>7</v>
      </c>
      <c r="D340">
        <v>4</v>
      </c>
      <c r="E340">
        <v>4</v>
      </c>
      <c r="F340">
        <v>1</v>
      </c>
      <c r="G340" t="s">
        <v>89</v>
      </c>
      <c r="H340">
        <v>1.63</v>
      </c>
      <c r="I340" s="2">
        <v>1.0382199999999999</v>
      </c>
      <c r="J340" s="47">
        <v>5</v>
      </c>
      <c r="K340" t="s">
        <v>53</v>
      </c>
      <c r="L340">
        <v>4</v>
      </c>
      <c r="M340" t="s">
        <v>15</v>
      </c>
      <c r="N340" s="56">
        <v>0</v>
      </c>
      <c r="O340">
        <v>1</v>
      </c>
      <c r="P340">
        <v>0</v>
      </c>
      <c r="Q340">
        <v>0</v>
      </c>
      <c r="R340">
        <v>0</v>
      </c>
    </row>
    <row r="341" spans="1:18">
      <c r="A341">
        <v>340</v>
      </c>
      <c r="B341">
        <v>15</v>
      </c>
      <c r="C341">
        <v>9</v>
      </c>
      <c r="D341">
        <v>4</v>
      </c>
      <c r="E341">
        <v>1</v>
      </c>
      <c r="F341">
        <v>0</v>
      </c>
      <c r="G341" t="s">
        <v>90</v>
      </c>
      <c r="H341">
        <v>1.66</v>
      </c>
      <c r="I341" s="2">
        <v>1.1608400000000001</v>
      </c>
      <c r="J341" s="47">
        <v>3</v>
      </c>
      <c r="K341" t="s">
        <v>20</v>
      </c>
      <c r="L341">
        <v>4</v>
      </c>
      <c r="M341" t="s">
        <v>13</v>
      </c>
      <c r="N341" s="56">
        <v>1</v>
      </c>
      <c r="O341">
        <v>1</v>
      </c>
      <c r="P341">
        <v>1</v>
      </c>
      <c r="Q341">
        <v>0</v>
      </c>
      <c r="R341">
        <v>0</v>
      </c>
    </row>
    <row r="342" spans="1:18">
      <c r="A342">
        <v>341</v>
      </c>
      <c r="B342">
        <v>15</v>
      </c>
      <c r="C342">
        <v>11</v>
      </c>
      <c r="D342">
        <v>4</v>
      </c>
      <c r="G342" t="s">
        <v>88</v>
      </c>
      <c r="I342" s="2"/>
      <c r="J342" s="47"/>
      <c r="N342" s="56"/>
    </row>
    <row r="343" spans="1:18">
      <c r="A343">
        <v>342</v>
      </c>
      <c r="B343">
        <v>15</v>
      </c>
      <c r="C343">
        <v>15</v>
      </c>
      <c r="D343">
        <v>4</v>
      </c>
      <c r="E343">
        <v>4</v>
      </c>
      <c r="F343">
        <v>1</v>
      </c>
      <c r="G343" t="s">
        <v>89</v>
      </c>
      <c r="H343">
        <v>2.0099999999999998</v>
      </c>
      <c r="I343" s="2">
        <v>1.09836</v>
      </c>
      <c r="J343" s="47">
        <v>5</v>
      </c>
      <c r="K343" t="s">
        <v>0</v>
      </c>
      <c r="L343">
        <v>2</v>
      </c>
      <c r="M343" t="s">
        <v>15</v>
      </c>
      <c r="N343" s="56">
        <v>0</v>
      </c>
      <c r="O343">
        <v>1</v>
      </c>
      <c r="P343">
        <v>0</v>
      </c>
      <c r="Q343">
        <v>0</v>
      </c>
      <c r="R343">
        <v>0</v>
      </c>
    </row>
    <row r="344" spans="1:18">
      <c r="A344">
        <v>343</v>
      </c>
      <c r="B344">
        <v>15</v>
      </c>
      <c r="C344">
        <v>16</v>
      </c>
      <c r="D344">
        <v>4</v>
      </c>
      <c r="E344">
        <v>1</v>
      </c>
      <c r="F344">
        <v>0</v>
      </c>
      <c r="G344" t="s">
        <v>90</v>
      </c>
      <c r="H344">
        <v>1.85</v>
      </c>
      <c r="I344" s="2">
        <v>1.10778</v>
      </c>
      <c r="J344" s="47">
        <v>4</v>
      </c>
      <c r="K344" t="s">
        <v>13</v>
      </c>
      <c r="L344">
        <v>2</v>
      </c>
      <c r="M344" t="s">
        <v>13</v>
      </c>
      <c r="N344" s="56">
        <v>1</v>
      </c>
      <c r="O344">
        <v>1</v>
      </c>
      <c r="P344">
        <v>1</v>
      </c>
      <c r="Q344">
        <v>0</v>
      </c>
      <c r="R344">
        <v>0</v>
      </c>
    </row>
    <row r="345" spans="1:18">
      <c r="A345">
        <v>344</v>
      </c>
      <c r="B345">
        <v>15</v>
      </c>
      <c r="C345">
        <v>17</v>
      </c>
      <c r="D345">
        <v>1</v>
      </c>
      <c r="E345">
        <v>4</v>
      </c>
      <c r="F345">
        <v>0</v>
      </c>
      <c r="G345" t="s">
        <v>91</v>
      </c>
      <c r="H345">
        <v>2.12</v>
      </c>
      <c r="I345" s="2">
        <v>1.06</v>
      </c>
      <c r="J345" s="47">
        <v>3</v>
      </c>
      <c r="K345" t="s">
        <v>20</v>
      </c>
      <c r="L345">
        <v>4</v>
      </c>
      <c r="M345" t="s">
        <v>13</v>
      </c>
      <c r="N345" s="56">
        <v>2</v>
      </c>
      <c r="O345">
        <v>1</v>
      </c>
      <c r="P345">
        <v>1</v>
      </c>
      <c r="Q345">
        <v>0</v>
      </c>
      <c r="R345">
        <v>0</v>
      </c>
    </row>
    <row r="346" spans="1:18">
      <c r="A346">
        <v>345</v>
      </c>
      <c r="B346">
        <v>15</v>
      </c>
      <c r="C346">
        <v>18</v>
      </c>
      <c r="D346">
        <v>1</v>
      </c>
      <c r="E346">
        <v>1</v>
      </c>
      <c r="F346">
        <v>1</v>
      </c>
      <c r="G346" t="s">
        <v>92</v>
      </c>
      <c r="H346">
        <v>1.76</v>
      </c>
      <c r="I346" s="2">
        <v>0.92632000000000003</v>
      </c>
      <c r="J346" s="47">
        <v>4</v>
      </c>
      <c r="K346" t="s">
        <v>20</v>
      </c>
      <c r="L346">
        <v>4</v>
      </c>
      <c r="M346" t="s">
        <v>13</v>
      </c>
      <c r="N346" s="56">
        <v>1</v>
      </c>
      <c r="O346">
        <v>1</v>
      </c>
      <c r="P346">
        <v>1</v>
      </c>
      <c r="Q346">
        <v>0</v>
      </c>
      <c r="R346">
        <v>0</v>
      </c>
    </row>
    <row r="347" spans="1:18">
      <c r="A347">
        <v>346</v>
      </c>
      <c r="B347">
        <v>15</v>
      </c>
      <c r="C347">
        <v>19</v>
      </c>
      <c r="D347">
        <v>1</v>
      </c>
      <c r="E347">
        <v>4</v>
      </c>
      <c r="F347">
        <v>0</v>
      </c>
      <c r="G347" t="s">
        <v>91</v>
      </c>
      <c r="H347">
        <v>1.86</v>
      </c>
      <c r="I347" s="2">
        <v>0.99465000000000003</v>
      </c>
      <c r="J347" s="47">
        <v>1</v>
      </c>
      <c r="K347" t="s">
        <v>35</v>
      </c>
      <c r="L347">
        <v>4</v>
      </c>
      <c r="M347" t="s">
        <v>36</v>
      </c>
      <c r="N347" s="56">
        <v>2</v>
      </c>
      <c r="O347">
        <v>1</v>
      </c>
      <c r="P347">
        <v>1</v>
      </c>
      <c r="Q347">
        <v>1</v>
      </c>
      <c r="R347">
        <v>0</v>
      </c>
    </row>
    <row r="348" spans="1:18">
      <c r="A348">
        <v>347</v>
      </c>
      <c r="B348">
        <v>15</v>
      </c>
      <c r="C348">
        <v>23</v>
      </c>
      <c r="D348">
        <v>4</v>
      </c>
      <c r="E348">
        <v>4</v>
      </c>
      <c r="F348">
        <v>1</v>
      </c>
      <c r="G348" t="s">
        <v>89</v>
      </c>
      <c r="H348">
        <v>1.77</v>
      </c>
      <c r="I348" s="2">
        <v>1.04118</v>
      </c>
      <c r="J348" s="47">
        <v>4</v>
      </c>
      <c r="K348" t="s">
        <v>5</v>
      </c>
      <c r="L348">
        <v>3</v>
      </c>
      <c r="M348" t="s">
        <v>13</v>
      </c>
      <c r="N348" s="56">
        <v>1</v>
      </c>
      <c r="O348">
        <v>1</v>
      </c>
      <c r="P348">
        <v>1</v>
      </c>
      <c r="Q348">
        <v>0</v>
      </c>
      <c r="R348">
        <v>0</v>
      </c>
    </row>
    <row r="349" spans="1:18">
      <c r="A349">
        <v>348</v>
      </c>
      <c r="B349">
        <v>15</v>
      </c>
      <c r="C349">
        <v>24</v>
      </c>
      <c r="D349">
        <v>1</v>
      </c>
      <c r="E349">
        <v>1</v>
      </c>
      <c r="F349">
        <v>1</v>
      </c>
      <c r="G349" t="s">
        <v>92</v>
      </c>
      <c r="H349">
        <v>1.95</v>
      </c>
      <c r="I349" s="2">
        <v>0.98985000000000001</v>
      </c>
      <c r="J349" s="47">
        <v>5</v>
      </c>
      <c r="K349" t="s">
        <v>20</v>
      </c>
      <c r="L349">
        <v>4</v>
      </c>
      <c r="M349" t="s">
        <v>13</v>
      </c>
      <c r="N349" s="56">
        <v>1</v>
      </c>
      <c r="O349">
        <v>1</v>
      </c>
      <c r="P349">
        <v>1</v>
      </c>
      <c r="Q349">
        <v>0</v>
      </c>
      <c r="R349">
        <v>0</v>
      </c>
    </row>
    <row r="350" spans="1:18">
      <c r="A350">
        <v>349</v>
      </c>
      <c r="B350">
        <v>15</v>
      </c>
      <c r="C350">
        <v>26</v>
      </c>
      <c r="D350">
        <v>1</v>
      </c>
      <c r="E350">
        <v>1</v>
      </c>
      <c r="F350">
        <v>1</v>
      </c>
      <c r="G350" t="s">
        <v>92</v>
      </c>
      <c r="H350">
        <v>2.1</v>
      </c>
      <c r="I350" s="2">
        <v>1.0880799999999999</v>
      </c>
      <c r="J350" s="47">
        <v>5</v>
      </c>
      <c r="K350" t="s">
        <v>20</v>
      </c>
      <c r="L350">
        <v>4</v>
      </c>
      <c r="M350" t="s">
        <v>13</v>
      </c>
      <c r="N350" s="56">
        <v>1</v>
      </c>
      <c r="O350">
        <v>1</v>
      </c>
      <c r="P350">
        <v>1</v>
      </c>
      <c r="Q350">
        <v>0</v>
      </c>
      <c r="R350">
        <v>0</v>
      </c>
    </row>
    <row r="351" spans="1:18">
      <c r="A351">
        <v>350</v>
      </c>
      <c r="B351">
        <v>15</v>
      </c>
      <c r="C351">
        <v>27</v>
      </c>
      <c r="D351">
        <v>4</v>
      </c>
      <c r="E351">
        <v>4</v>
      </c>
      <c r="F351">
        <v>1</v>
      </c>
      <c r="G351" t="s">
        <v>89</v>
      </c>
      <c r="H351">
        <v>1.73</v>
      </c>
      <c r="I351" s="2">
        <v>1.2097899999999999</v>
      </c>
      <c r="J351" s="47">
        <v>3</v>
      </c>
      <c r="K351" t="s">
        <v>29</v>
      </c>
      <c r="L351">
        <v>5</v>
      </c>
      <c r="M351" t="s">
        <v>13</v>
      </c>
      <c r="N351" s="56">
        <v>1</v>
      </c>
      <c r="O351">
        <v>1</v>
      </c>
      <c r="P351">
        <v>1</v>
      </c>
      <c r="Q351">
        <v>0</v>
      </c>
      <c r="R351">
        <v>0</v>
      </c>
    </row>
    <row r="352" spans="1:18">
      <c r="A352">
        <v>351</v>
      </c>
      <c r="B352">
        <v>15</v>
      </c>
      <c r="C352">
        <v>28</v>
      </c>
      <c r="D352">
        <v>1</v>
      </c>
      <c r="E352">
        <v>1</v>
      </c>
      <c r="F352">
        <v>1</v>
      </c>
      <c r="G352" t="s">
        <v>92</v>
      </c>
      <c r="H352">
        <v>1.77</v>
      </c>
      <c r="I352" s="2">
        <v>0.94652000000000003</v>
      </c>
      <c r="J352" s="47">
        <v>5</v>
      </c>
      <c r="K352" t="s">
        <v>2</v>
      </c>
      <c r="L352">
        <v>3</v>
      </c>
      <c r="M352" t="s">
        <v>15</v>
      </c>
      <c r="N352" s="56">
        <v>0</v>
      </c>
      <c r="O352">
        <v>1</v>
      </c>
      <c r="P352">
        <v>0</v>
      </c>
      <c r="Q352">
        <v>0</v>
      </c>
      <c r="R352">
        <v>0</v>
      </c>
    </row>
    <row r="353" spans="1:18">
      <c r="A353">
        <v>352</v>
      </c>
      <c r="B353">
        <v>15</v>
      </c>
      <c r="C353">
        <v>29</v>
      </c>
      <c r="D353">
        <v>4</v>
      </c>
      <c r="E353">
        <v>4</v>
      </c>
      <c r="F353">
        <v>1</v>
      </c>
      <c r="G353" t="s">
        <v>89</v>
      </c>
      <c r="H353">
        <v>1.88</v>
      </c>
      <c r="I353" s="2">
        <v>1.12575</v>
      </c>
      <c r="J353" s="47">
        <v>3</v>
      </c>
      <c r="K353" t="s">
        <v>20</v>
      </c>
      <c r="L353">
        <v>4</v>
      </c>
      <c r="M353" t="s">
        <v>13</v>
      </c>
      <c r="N353" s="56">
        <v>1</v>
      </c>
      <c r="O353">
        <v>1</v>
      </c>
      <c r="P353">
        <v>1</v>
      </c>
      <c r="Q353">
        <v>0</v>
      </c>
      <c r="R353">
        <v>0</v>
      </c>
    </row>
    <row r="354" spans="1:18">
      <c r="A354">
        <v>353</v>
      </c>
      <c r="B354">
        <v>15</v>
      </c>
      <c r="C354">
        <v>30</v>
      </c>
      <c r="D354">
        <v>4</v>
      </c>
      <c r="E354">
        <v>1</v>
      </c>
      <c r="F354">
        <v>0</v>
      </c>
      <c r="G354" t="s">
        <v>90</v>
      </c>
      <c r="H354">
        <v>1.74</v>
      </c>
      <c r="I354" s="2">
        <v>1.0235300000000001</v>
      </c>
      <c r="J354" s="47">
        <v>2</v>
      </c>
      <c r="K354" t="s">
        <v>5</v>
      </c>
      <c r="L354">
        <v>3</v>
      </c>
      <c r="M354" t="s">
        <v>13</v>
      </c>
      <c r="N354" s="56">
        <v>1</v>
      </c>
      <c r="O354">
        <v>1</v>
      </c>
      <c r="P354">
        <v>1</v>
      </c>
      <c r="Q354">
        <v>0</v>
      </c>
      <c r="R354">
        <v>0</v>
      </c>
    </row>
    <row r="355" spans="1:18">
      <c r="A355">
        <v>354</v>
      </c>
      <c r="B355">
        <v>15</v>
      </c>
      <c r="C355">
        <v>34</v>
      </c>
      <c r="D355">
        <v>1</v>
      </c>
      <c r="E355">
        <v>1</v>
      </c>
      <c r="F355">
        <v>1</v>
      </c>
      <c r="G355" t="s">
        <v>92</v>
      </c>
      <c r="H355">
        <v>2.04</v>
      </c>
      <c r="I355" s="2">
        <v>0.98551</v>
      </c>
      <c r="J355" s="47">
        <v>5</v>
      </c>
      <c r="K355" t="s">
        <v>26</v>
      </c>
      <c r="L355">
        <v>3</v>
      </c>
      <c r="M355" t="s">
        <v>38</v>
      </c>
      <c r="N355" s="56">
        <v>1</v>
      </c>
      <c r="O355">
        <v>1</v>
      </c>
      <c r="P355">
        <v>0</v>
      </c>
      <c r="Q355">
        <v>1</v>
      </c>
      <c r="R355">
        <v>0</v>
      </c>
    </row>
    <row r="356" spans="1:18">
      <c r="A356">
        <v>355</v>
      </c>
      <c r="B356">
        <v>15</v>
      </c>
      <c r="C356">
        <v>35</v>
      </c>
      <c r="D356">
        <v>1</v>
      </c>
      <c r="E356">
        <v>1</v>
      </c>
      <c r="F356">
        <v>1</v>
      </c>
      <c r="G356" t="s">
        <v>92</v>
      </c>
      <c r="H356">
        <v>1.92</v>
      </c>
      <c r="I356" s="2">
        <v>1.02674</v>
      </c>
      <c r="J356" s="47">
        <v>3</v>
      </c>
      <c r="K356" t="s">
        <v>26</v>
      </c>
      <c r="L356">
        <v>3</v>
      </c>
      <c r="M356" t="s">
        <v>38</v>
      </c>
      <c r="N356" s="56">
        <v>1</v>
      </c>
      <c r="O356">
        <v>1</v>
      </c>
      <c r="P356">
        <v>0</v>
      </c>
      <c r="Q356">
        <v>1</v>
      </c>
      <c r="R356">
        <v>0</v>
      </c>
    </row>
    <row r="357" spans="1:18">
      <c r="A357">
        <v>356</v>
      </c>
      <c r="B357">
        <v>15</v>
      </c>
      <c r="C357">
        <v>36</v>
      </c>
      <c r="D357">
        <v>1</v>
      </c>
      <c r="E357">
        <v>1</v>
      </c>
      <c r="F357">
        <v>1</v>
      </c>
      <c r="G357" t="s">
        <v>92</v>
      </c>
      <c r="H357">
        <v>1.99</v>
      </c>
      <c r="I357" s="2">
        <v>1.0641700000000001</v>
      </c>
      <c r="J357" s="47">
        <v>4</v>
      </c>
      <c r="K357" t="s">
        <v>20</v>
      </c>
      <c r="L357">
        <v>4</v>
      </c>
      <c r="M357" t="s">
        <v>13</v>
      </c>
      <c r="N357" s="56">
        <v>1</v>
      </c>
      <c r="O357">
        <v>1</v>
      </c>
      <c r="P357">
        <v>1</v>
      </c>
      <c r="Q357">
        <v>0</v>
      </c>
      <c r="R357">
        <v>0</v>
      </c>
    </row>
    <row r="358" spans="1:18">
      <c r="A358">
        <v>357</v>
      </c>
      <c r="B358">
        <v>15</v>
      </c>
      <c r="C358">
        <v>37</v>
      </c>
      <c r="D358">
        <v>4</v>
      </c>
      <c r="E358">
        <v>4</v>
      </c>
      <c r="F358">
        <v>1</v>
      </c>
      <c r="G358" t="s">
        <v>89</v>
      </c>
      <c r="H358">
        <v>1.96</v>
      </c>
      <c r="I358" s="2">
        <v>1.10734</v>
      </c>
      <c r="J358" s="47">
        <v>5</v>
      </c>
      <c r="K358" t="s">
        <v>26</v>
      </c>
      <c r="L358">
        <v>3</v>
      </c>
      <c r="M358" t="s">
        <v>38</v>
      </c>
      <c r="N358" s="56">
        <v>1</v>
      </c>
      <c r="O358">
        <v>1</v>
      </c>
      <c r="P358">
        <v>0</v>
      </c>
      <c r="Q358">
        <v>1</v>
      </c>
      <c r="R358">
        <v>0</v>
      </c>
    </row>
    <row r="359" spans="1:18">
      <c r="A359">
        <v>358</v>
      </c>
      <c r="B359">
        <v>15</v>
      </c>
      <c r="C359">
        <v>39</v>
      </c>
      <c r="D359">
        <v>1</v>
      </c>
      <c r="E359">
        <v>4</v>
      </c>
      <c r="F359">
        <v>0</v>
      </c>
      <c r="G359" t="s">
        <v>91</v>
      </c>
      <c r="H359">
        <v>1.96</v>
      </c>
      <c r="I359" s="2">
        <v>1.04813</v>
      </c>
      <c r="J359" s="47">
        <v>2</v>
      </c>
      <c r="K359" t="s">
        <v>26</v>
      </c>
      <c r="L359">
        <v>3</v>
      </c>
      <c r="M359" t="s">
        <v>38</v>
      </c>
      <c r="N359" s="56">
        <v>1</v>
      </c>
      <c r="O359">
        <v>1</v>
      </c>
      <c r="P359">
        <v>0</v>
      </c>
      <c r="Q359">
        <v>1</v>
      </c>
      <c r="R359">
        <v>0</v>
      </c>
    </row>
    <row r="360" spans="1:18">
      <c r="A360">
        <v>359</v>
      </c>
      <c r="B360">
        <v>15</v>
      </c>
      <c r="C360">
        <v>41</v>
      </c>
      <c r="D360">
        <v>1</v>
      </c>
      <c r="E360">
        <v>1</v>
      </c>
      <c r="F360">
        <v>1</v>
      </c>
      <c r="G360" t="s">
        <v>92</v>
      </c>
      <c r="H360">
        <v>2.06</v>
      </c>
      <c r="I360" s="2">
        <v>1.12568</v>
      </c>
      <c r="J360" s="47">
        <v>3</v>
      </c>
      <c r="K360" t="s">
        <v>26</v>
      </c>
      <c r="L360">
        <v>3</v>
      </c>
      <c r="M360" t="s">
        <v>38</v>
      </c>
      <c r="N360" s="56">
        <v>0</v>
      </c>
      <c r="O360">
        <v>1</v>
      </c>
      <c r="P360">
        <v>0</v>
      </c>
      <c r="Q360">
        <v>1</v>
      </c>
      <c r="R360">
        <v>0</v>
      </c>
    </row>
    <row r="361" spans="1:18">
      <c r="A361">
        <v>360</v>
      </c>
      <c r="B361">
        <v>15</v>
      </c>
      <c r="C361">
        <v>42</v>
      </c>
      <c r="D361">
        <v>1</v>
      </c>
      <c r="E361">
        <v>4</v>
      </c>
      <c r="F361">
        <v>0</v>
      </c>
      <c r="G361" t="s">
        <v>91</v>
      </c>
      <c r="H361">
        <v>1.64</v>
      </c>
      <c r="I361" s="2">
        <v>0.86316000000000004</v>
      </c>
      <c r="J361" s="47">
        <v>4</v>
      </c>
      <c r="K361" t="s">
        <v>2</v>
      </c>
      <c r="L361">
        <v>3</v>
      </c>
      <c r="M361" t="s">
        <v>15</v>
      </c>
      <c r="N361" s="56">
        <v>0</v>
      </c>
      <c r="O361">
        <v>1</v>
      </c>
      <c r="P361">
        <v>0</v>
      </c>
      <c r="Q361">
        <v>0</v>
      </c>
      <c r="R361">
        <v>0</v>
      </c>
    </row>
    <row r="362" spans="1:18">
      <c r="A362">
        <v>361</v>
      </c>
      <c r="B362">
        <v>16</v>
      </c>
      <c r="C362">
        <v>1</v>
      </c>
      <c r="D362">
        <v>4</v>
      </c>
      <c r="E362">
        <v>4</v>
      </c>
      <c r="F362">
        <v>1</v>
      </c>
      <c r="G362" t="s">
        <v>89</v>
      </c>
      <c r="H362">
        <v>1.32</v>
      </c>
      <c r="I362" s="2">
        <v>0.88</v>
      </c>
      <c r="J362" s="47">
        <v>5</v>
      </c>
      <c r="K362" t="s">
        <v>2</v>
      </c>
      <c r="L362">
        <v>3</v>
      </c>
      <c r="M362" t="s">
        <v>15</v>
      </c>
      <c r="N362" s="56">
        <v>0</v>
      </c>
      <c r="O362">
        <v>1</v>
      </c>
      <c r="P362">
        <v>0</v>
      </c>
      <c r="Q362">
        <v>0</v>
      </c>
      <c r="R362">
        <v>0</v>
      </c>
    </row>
    <row r="363" spans="1:18">
      <c r="A363">
        <v>362</v>
      </c>
      <c r="B363">
        <v>16</v>
      </c>
      <c r="C363">
        <v>4</v>
      </c>
      <c r="D363">
        <v>4</v>
      </c>
      <c r="E363">
        <v>4</v>
      </c>
      <c r="F363">
        <v>1</v>
      </c>
      <c r="G363" t="s">
        <v>89</v>
      </c>
      <c r="H363">
        <v>1.41</v>
      </c>
      <c r="I363" s="2">
        <v>0.86502999999999997</v>
      </c>
      <c r="J363" s="47">
        <v>4</v>
      </c>
      <c r="K363" t="s">
        <v>61</v>
      </c>
      <c r="L363">
        <v>4</v>
      </c>
      <c r="M363" t="s">
        <v>10</v>
      </c>
      <c r="N363" s="56">
        <v>1</v>
      </c>
      <c r="O363">
        <v>1</v>
      </c>
      <c r="P363">
        <v>1</v>
      </c>
      <c r="Q363">
        <v>0</v>
      </c>
      <c r="R363">
        <v>0</v>
      </c>
    </row>
    <row r="364" spans="1:18">
      <c r="A364">
        <v>363</v>
      </c>
      <c r="B364">
        <v>16</v>
      </c>
      <c r="C364">
        <v>7</v>
      </c>
      <c r="D364">
        <v>4</v>
      </c>
      <c r="E364">
        <v>1</v>
      </c>
      <c r="F364">
        <v>0</v>
      </c>
      <c r="G364" t="s">
        <v>90</v>
      </c>
      <c r="H364">
        <v>1.77</v>
      </c>
      <c r="I364" s="2">
        <v>1.1273899999999999</v>
      </c>
      <c r="J364" s="47">
        <v>2</v>
      </c>
      <c r="K364" t="s">
        <v>62</v>
      </c>
      <c r="L364">
        <v>3</v>
      </c>
      <c r="M364" t="s">
        <v>33</v>
      </c>
      <c r="N364" s="56">
        <v>1</v>
      </c>
      <c r="O364">
        <v>1</v>
      </c>
      <c r="P364">
        <v>0</v>
      </c>
      <c r="Q364">
        <v>0</v>
      </c>
      <c r="R364">
        <v>1</v>
      </c>
    </row>
    <row r="365" spans="1:18">
      <c r="A365">
        <v>364</v>
      </c>
      <c r="B365">
        <v>16</v>
      </c>
      <c r="C365">
        <v>9</v>
      </c>
      <c r="D365">
        <v>4</v>
      </c>
      <c r="E365">
        <v>4</v>
      </c>
      <c r="F365">
        <v>1</v>
      </c>
      <c r="G365" t="s">
        <v>89</v>
      </c>
      <c r="H365">
        <v>1.32</v>
      </c>
      <c r="I365" s="2">
        <v>0.92308000000000001</v>
      </c>
      <c r="J365" s="47">
        <v>3</v>
      </c>
      <c r="K365" t="s">
        <v>63</v>
      </c>
      <c r="L365">
        <v>5</v>
      </c>
      <c r="M365" t="s">
        <v>15</v>
      </c>
      <c r="N365" s="56">
        <v>0</v>
      </c>
      <c r="O365">
        <v>1</v>
      </c>
      <c r="P365">
        <v>0</v>
      </c>
      <c r="Q365">
        <v>0</v>
      </c>
      <c r="R365">
        <v>0</v>
      </c>
    </row>
    <row r="366" spans="1:18">
      <c r="A366">
        <v>365</v>
      </c>
      <c r="B366">
        <v>16</v>
      </c>
      <c r="C366">
        <v>11</v>
      </c>
      <c r="D366">
        <v>4</v>
      </c>
      <c r="E366">
        <v>1</v>
      </c>
      <c r="F366">
        <v>0</v>
      </c>
      <c r="G366" t="s">
        <v>90</v>
      </c>
      <c r="H366">
        <v>1.51</v>
      </c>
      <c r="I366" s="2">
        <v>0.76649999999999996</v>
      </c>
      <c r="J366" s="47">
        <v>2</v>
      </c>
      <c r="K366" t="s">
        <v>0</v>
      </c>
      <c r="L366">
        <v>2</v>
      </c>
      <c r="M366" t="s">
        <v>15</v>
      </c>
      <c r="N366" s="56">
        <v>0</v>
      </c>
      <c r="O366">
        <v>1</v>
      </c>
      <c r="P366">
        <v>0</v>
      </c>
      <c r="Q366">
        <v>0</v>
      </c>
      <c r="R366">
        <v>0</v>
      </c>
    </row>
    <row r="367" spans="1:18">
      <c r="A367">
        <v>366</v>
      </c>
      <c r="B367">
        <v>16</v>
      </c>
      <c r="C367">
        <v>15</v>
      </c>
      <c r="D367">
        <v>4</v>
      </c>
      <c r="E367">
        <v>4</v>
      </c>
      <c r="F367">
        <v>1</v>
      </c>
      <c r="G367" t="s">
        <v>89</v>
      </c>
      <c r="H367">
        <v>1.33</v>
      </c>
      <c r="I367" s="2">
        <v>0.72677999999999998</v>
      </c>
      <c r="J367" s="47">
        <v>4</v>
      </c>
      <c r="K367" t="s">
        <v>0</v>
      </c>
      <c r="L367">
        <v>2</v>
      </c>
      <c r="M367" t="s">
        <v>15</v>
      </c>
      <c r="N367" s="56">
        <v>0</v>
      </c>
      <c r="O367">
        <v>1</v>
      </c>
      <c r="P367">
        <v>0</v>
      </c>
      <c r="Q367">
        <v>0</v>
      </c>
      <c r="R367">
        <v>0</v>
      </c>
    </row>
    <row r="368" spans="1:18">
      <c r="A368">
        <v>367</v>
      </c>
      <c r="B368">
        <v>16</v>
      </c>
      <c r="C368">
        <v>16</v>
      </c>
      <c r="D368">
        <v>4</v>
      </c>
      <c r="E368">
        <v>4</v>
      </c>
      <c r="F368">
        <v>1</v>
      </c>
      <c r="G368" t="s">
        <v>89</v>
      </c>
      <c r="H368">
        <v>1.27</v>
      </c>
      <c r="I368" s="2">
        <v>0.76048000000000004</v>
      </c>
      <c r="J368" s="47">
        <v>3</v>
      </c>
      <c r="K368" t="s">
        <v>0</v>
      </c>
      <c r="L368">
        <v>2</v>
      </c>
      <c r="M368" t="s">
        <v>15</v>
      </c>
      <c r="N368" s="56">
        <v>0</v>
      </c>
      <c r="O368">
        <v>1</v>
      </c>
      <c r="P368">
        <v>0</v>
      </c>
      <c r="Q368">
        <v>0</v>
      </c>
      <c r="R368">
        <v>0</v>
      </c>
    </row>
    <row r="369" spans="1:18">
      <c r="A369">
        <v>368</v>
      </c>
      <c r="B369">
        <v>16</v>
      </c>
      <c r="C369">
        <v>17</v>
      </c>
      <c r="D369">
        <v>1</v>
      </c>
      <c r="E369">
        <v>1</v>
      </c>
      <c r="F369">
        <v>1</v>
      </c>
      <c r="G369" t="s">
        <v>92</v>
      </c>
      <c r="H369">
        <v>2.02</v>
      </c>
      <c r="I369" s="2">
        <v>1.01</v>
      </c>
      <c r="J369" s="47">
        <v>3</v>
      </c>
      <c r="K369" t="s">
        <v>64</v>
      </c>
      <c r="L369">
        <v>4</v>
      </c>
      <c r="M369" t="s">
        <v>14</v>
      </c>
      <c r="N369" s="56">
        <v>2</v>
      </c>
      <c r="O369">
        <v>1</v>
      </c>
      <c r="P369">
        <v>1</v>
      </c>
      <c r="Q369">
        <v>0</v>
      </c>
      <c r="R369">
        <v>1</v>
      </c>
    </row>
    <row r="370" spans="1:18">
      <c r="A370">
        <v>369</v>
      </c>
      <c r="B370">
        <v>16</v>
      </c>
      <c r="C370">
        <v>18</v>
      </c>
      <c r="D370">
        <v>1</v>
      </c>
      <c r="E370">
        <v>4</v>
      </c>
      <c r="F370">
        <v>0</v>
      </c>
      <c r="G370" t="s">
        <v>91</v>
      </c>
      <c r="H370">
        <v>1.21</v>
      </c>
      <c r="I370" s="2">
        <v>0.63683999999999996</v>
      </c>
      <c r="J370" s="47">
        <v>2</v>
      </c>
      <c r="K370" t="s">
        <v>2</v>
      </c>
      <c r="L370">
        <v>3</v>
      </c>
      <c r="M370" t="s">
        <v>15</v>
      </c>
      <c r="N370" s="56">
        <v>0</v>
      </c>
      <c r="O370">
        <v>1</v>
      </c>
      <c r="P370">
        <v>0</v>
      </c>
      <c r="Q370">
        <v>0</v>
      </c>
      <c r="R370">
        <v>0</v>
      </c>
    </row>
    <row r="371" spans="1:18">
      <c r="A371">
        <v>370</v>
      </c>
      <c r="B371">
        <v>16</v>
      </c>
      <c r="C371">
        <v>19</v>
      </c>
      <c r="D371">
        <v>1</v>
      </c>
      <c r="E371">
        <v>4</v>
      </c>
      <c r="F371">
        <v>0</v>
      </c>
      <c r="G371" t="s">
        <v>91</v>
      </c>
      <c r="H371">
        <v>1.18</v>
      </c>
      <c r="I371" s="2">
        <v>0.63102000000000003</v>
      </c>
      <c r="J371" s="47">
        <v>2</v>
      </c>
      <c r="K371" t="s">
        <v>2</v>
      </c>
      <c r="L371">
        <v>3</v>
      </c>
      <c r="M371" t="s">
        <v>15</v>
      </c>
      <c r="N371" s="56">
        <v>0</v>
      </c>
      <c r="O371">
        <v>1</v>
      </c>
      <c r="P371">
        <v>0</v>
      </c>
      <c r="Q371">
        <v>0</v>
      </c>
      <c r="R371">
        <v>0</v>
      </c>
    </row>
    <row r="372" spans="1:18">
      <c r="A372">
        <v>371</v>
      </c>
      <c r="B372">
        <v>16</v>
      </c>
      <c r="C372">
        <v>23</v>
      </c>
      <c r="D372">
        <v>4</v>
      </c>
      <c r="E372">
        <v>4</v>
      </c>
      <c r="F372">
        <v>1</v>
      </c>
      <c r="G372" t="s">
        <v>89</v>
      </c>
      <c r="H372">
        <v>1.2</v>
      </c>
      <c r="I372" s="2">
        <v>0.70587999999999995</v>
      </c>
      <c r="J372" s="47">
        <v>3</v>
      </c>
      <c r="K372" t="s">
        <v>0</v>
      </c>
      <c r="L372">
        <v>2</v>
      </c>
      <c r="M372" t="s">
        <v>15</v>
      </c>
      <c r="N372" s="56">
        <v>0</v>
      </c>
      <c r="O372">
        <v>1</v>
      </c>
      <c r="P372">
        <v>0</v>
      </c>
      <c r="Q372">
        <v>0</v>
      </c>
      <c r="R372">
        <v>0</v>
      </c>
    </row>
    <row r="373" spans="1:18">
      <c r="A373">
        <v>372</v>
      </c>
      <c r="B373">
        <v>16</v>
      </c>
      <c r="C373">
        <v>24</v>
      </c>
      <c r="D373">
        <v>1</v>
      </c>
      <c r="E373">
        <v>1</v>
      </c>
      <c r="F373">
        <v>1</v>
      </c>
      <c r="G373" t="s">
        <v>92</v>
      </c>
      <c r="H373">
        <v>1.74</v>
      </c>
      <c r="I373" s="2">
        <v>0.88324999999999998</v>
      </c>
      <c r="J373" s="47">
        <v>5</v>
      </c>
      <c r="K373" t="s">
        <v>20</v>
      </c>
      <c r="L373">
        <v>4</v>
      </c>
      <c r="M373" t="s">
        <v>13</v>
      </c>
      <c r="N373" s="56">
        <v>1</v>
      </c>
      <c r="O373">
        <v>1</v>
      </c>
      <c r="P373">
        <v>1</v>
      </c>
      <c r="Q373">
        <v>0</v>
      </c>
      <c r="R373">
        <v>0</v>
      </c>
    </row>
    <row r="374" spans="1:18">
      <c r="A374">
        <v>373</v>
      </c>
      <c r="B374">
        <v>16</v>
      </c>
      <c r="C374">
        <v>26</v>
      </c>
      <c r="D374">
        <v>1</v>
      </c>
      <c r="E374">
        <v>1</v>
      </c>
      <c r="F374">
        <v>1</v>
      </c>
      <c r="G374" t="s">
        <v>92</v>
      </c>
      <c r="H374">
        <v>1.42</v>
      </c>
      <c r="I374" s="2">
        <v>0.73575000000000002</v>
      </c>
      <c r="J374" s="47">
        <v>4</v>
      </c>
      <c r="K374" t="s">
        <v>2</v>
      </c>
      <c r="L374">
        <v>3</v>
      </c>
      <c r="M374" t="s">
        <v>15</v>
      </c>
      <c r="N374" s="56">
        <v>0</v>
      </c>
      <c r="O374">
        <v>1</v>
      </c>
      <c r="P374">
        <v>0</v>
      </c>
      <c r="Q374">
        <v>0</v>
      </c>
      <c r="R374">
        <v>0</v>
      </c>
    </row>
    <row r="375" spans="1:18">
      <c r="A375">
        <v>374</v>
      </c>
      <c r="B375">
        <v>16</v>
      </c>
      <c r="C375">
        <v>27</v>
      </c>
      <c r="D375">
        <v>4</v>
      </c>
      <c r="E375">
        <v>4</v>
      </c>
      <c r="F375">
        <v>1</v>
      </c>
      <c r="G375" t="s">
        <v>89</v>
      </c>
      <c r="H375">
        <v>1.36</v>
      </c>
      <c r="I375" s="2">
        <v>0.95104999999999995</v>
      </c>
      <c r="J375" s="47">
        <v>3</v>
      </c>
      <c r="K375" t="s">
        <v>53</v>
      </c>
      <c r="L375">
        <v>4</v>
      </c>
      <c r="M375" t="s">
        <v>15</v>
      </c>
      <c r="N375" s="56">
        <v>0</v>
      </c>
      <c r="O375">
        <v>1</v>
      </c>
      <c r="P375">
        <v>0</v>
      </c>
      <c r="Q375">
        <v>0</v>
      </c>
      <c r="R375">
        <v>0</v>
      </c>
    </row>
    <row r="376" spans="1:18">
      <c r="A376">
        <v>375</v>
      </c>
      <c r="B376">
        <v>16</v>
      </c>
      <c r="C376">
        <v>28</v>
      </c>
      <c r="D376">
        <v>1</v>
      </c>
      <c r="E376">
        <v>1</v>
      </c>
      <c r="F376">
        <v>1</v>
      </c>
      <c r="G376" t="s">
        <v>92</v>
      </c>
      <c r="H376">
        <v>0.74</v>
      </c>
      <c r="I376" s="2">
        <v>0.39572000000000002</v>
      </c>
      <c r="J376" s="47">
        <v>3</v>
      </c>
      <c r="K376" t="s">
        <v>15</v>
      </c>
      <c r="L376">
        <v>1</v>
      </c>
      <c r="M376" t="s">
        <v>15</v>
      </c>
      <c r="N376" s="56">
        <v>0</v>
      </c>
      <c r="O376">
        <v>1</v>
      </c>
      <c r="P376">
        <v>0</v>
      </c>
      <c r="Q376">
        <v>0</v>
      </c>
      <c r="R376">
        <v>0</v>
      </c>
    </row>
    <row r="377" spans="1:18">
      <c r="A377">
        <v>376</v>
      </c>
      <c r="B377">
        <v>16</v>
      </c>
      <c r="C377">
        <v>29</v>
      </c>
      <c r="D377">
        <v>4</v>
      </c>
      <c r="E377">
        <v>4</v>
      </c>
      <c r="F377">
        <v>1</v>
      </c>
      <c r="G377" t="s">
        <v>89</v>
      </c>
      <c r="H377">
        <v>1.59</v>
      </c>
      <c r="I377" s="2">
        <v>0.95209999999999995</v>
      </c>
      <c r="J377" s="47">
        <v>3</v>
      </c>
      <c r="K377" t="s">
        <v>0</v>
      </c>
      <c r="L377">
        <v>2</v>
      </c>
      <c r="M377" t="s">
        <v>15</v>
      </c>
      <c r="N377" s="56">
        <v>0</v>
      </c>
      <c r="O377">
        <v>1</v>
      </c>
      <c r="P377">
        <v>0</v>
      </c>
      <c r="Q377">
        <v>0</v>
      </c>
      <c r="R377">
        <v>0</v>
      </c>
    </row>
    <row r="378" spans="1:18">
      <c r="A378">
        <v>377</v>
      </c>
      <c r="B378">
        <v>16</v>
      </c>
      <c r="C378">
        <v>30</v>
      </c>
      <c r="D378">
        <v>4</v>
      </c>
      <c r="E378">
        <v>4</v>
      </c>
      <c r="F378">
        <v>1</v>
      </c>
      <c r="G378" t="s">
        <v>89</v>
      </c>
      <c r="H378">
        <v>1.26</v>
      </c>
      <c r="I378" s="2">
        <v>0.74117999999999995</v>
      </c>
      <c r="J378" s="47">
        <v>4</v>
      </c>
      <c r="K378" t="s">
        <v>15</v>
      </c>
      <c r="L378">
        <v>1</v>
      </c>
      <c r="M378" t="s">
        <v>15</v>
      </c>
      <c r="N378" s="56">
        <v>0</v>
      </c>
      <c r="O378">
        <v>1</v>
      </c>
      <c r="P378">
        <v>0</v>
      </c>
      <c r="Q378">
        <v>0</v>
      </c>
      <c r="R378">
        <v>0</v>
      </c>
    </row>
    <row r="379" spans="1:18">
      <c r="A379">
        <v>378</v>
      </c>
      <c r="B379">
        <v>16</v>
      </c>
      <c r="C379">
        <v>34</v>
      </c>
      <c r="D379">
        <v>1</v>
      </c>
      <c r="E379">
        <v>1</v>
      </c>
      <c r="F379">
        <v>1</v>
      </c>
      <c r="G379" t="s">
        <v>92</v>
      </c>
      <c r="H379">
        <v>1.69</v>
      </c>
      <c r="I379" s="2">
        <v>0.81642999999999999</v>
      </c>
      <c r="J379" s="47">
        <v>5</v>
      </c>
      <c r="K379" t="s">
        <v>0</v>
      </c>
      <c r="L379">
        <v>2</v>
      </c>
      <c r="M379" t="s">
        <v>15</v>
      </c>
      <c r="N379" s="56">
        <v>0</v>
      </c>
      <c r="O379">
        <v>1</v>
      </c>
      <c r="P379">
        <v>0</v>
      </c>
      <c r="Q379">
        <v>0</v>
      </c>
      <c r="R379">
        <v>0</v>
      </c>
    </row>
    <row r="380" spans="1:18">
      <c r="A380">
        <v>379</v>
      </c>
      <c r="B380">
        <v>16</v>
      </c>
      <c r="C380">
        <v>35</v>
      </c>
      <c r="D380">
        <v>1</v>
      </c>
      <c r="E380">
        <v>1</v>
      </c>
      <c r="F380">
        <v>1</v>
      </c>
      <c r="G380" t="s">
        <v>92</v>
      </c>
      <c r="H380">
        <v>1.47</v>
      </c>
      <c r="I380" s="2">
        <v>0.78610000000000002</v>
      </c>
      <c r="J380" s="47">
        <v>3</v>
      </c>
      <c r="K380" t="s">
        <v>0</v>
      </c>
      <c r="L380">
        <v>2</v>
      </c>
      <c r="M380" t="s">
        <v>15</v>
      </c>
      <c r="N380" s="56">
        <v>0</v>
      </c>
      <c r="O380">
        <v>1</v>
      </c>
      <c r="P380">
        <v>0</v>
      </c>
      <c r="Q380">
        <v>0</v>
      </c>
      <c r="R380">
        <v>0</v>
      </c>
    </row>
    <row r="381" spans="1:18">
      <c r="A381">
        <v>380</v>
      </c>
      <c r="B381">
        <v>16</v>
      </c>
      <c r="C381">
        <v>36</v>
      </c>
      <c r="D381">
        <v>1</v>
      </c>
      <c r="E381">
        <v>4</v>
      </c>
      <c r="F381">
        <v>0</v>
      </c>
      <c r="G381" t="s">
        <v>91</v>
      </c>
      <c r="H381">
        <v>1.42</v>
      </c>
      <c r="I381" s="2">
        <v>0.75936000000000003</v>
      </c>
      <c r="J381" s="47">
        <v>2</v>
      </c>
      <c r="K381" t="s">
        <v>2</v>
      </c>
      <c r="L381">
        <v>3</v>
      </c>
      <c r="M381" t="s">
        <v>15</v>
      </c>
      <c r="N381" s="56">
        <v>0</v>
      </c>
      <c r="O381">
        <v>1</v>
      </c>
      <c r="P381">
        <v>0</v>
      </c>
      <c r="Q381">
        <v>0</v>
      </c>
      <c r="R381">
        <v>0</v>
      </c>
    </row>
    <row r="382" spans="1:18">
      <c r="A382">
        <v>381</v>
      </c>
      <c r="B382">
        <v>16</v>
      </c>
      <c r="C382">
        <v>37</v>
      </c>
      <c r="D382">
        <v>4</v>
      </c>
      <c r="E382">
        <v>4</v>
      </c>
      <c r="F382">
        <v>1</v>
      </c>
      <c r="G382" t="s">
        <v>89</v>
      </c>
      <c r="H382">
        <v>1.43</v>
      </c>
      <c r="I382" s="2">
        <v>0.80791000000000002</v>
      </c>
      <c r="J382" s="47">
        <v>4</v>
      </c>
      <c r="K382" t="s">
        <v>0</v>
      </c>
      <c r="L382">
        <v>2</v>
      </c>
      <c r="M382" t="s">
        <v>15</v>
      </c>
      <c r="N382" s="56">
        <v>0</v>
      </c>
      <c r="O382">
        <v>1</v>
      </c>
      <c r="P382">
        <v>0</v>
      </c>
      <c r="Q382">
        <v>0</v>
      </c>
      <c r="R382">
        <v>0</v>
      </c>
    </row>
    <row r="383" spans="1:18">
      <c r="A383">
        <v>382</v>
      </c>
      <c r="B383">
        <v>16</v>
      </c>
      <c r="C383">
        <v>39</v>
      </c>
      <c r="D383">
        <v>1</v>
      </c>
      <c r="E383">
        <v>4</v>
      </c>
      <c r="F383">
        <v>0</v>
      </c>
      <c r="G383" t="s">
        <v>91</v>
      </c>
      <c r="H383">
        <v>1.1399999999999999</v>
      </c>
      <c r="I383" s="2">
        <v>0.60963000000000001</v>
      </c>
      <c r="J383" s="47">
        <v>4</v>
      </c>
      <c r="K383" t="s">
        <v>0</v>
      </c>
      <c r="L383">
        <v>2</v>
      </c>
      <c r="M383" t="s">
        <v>15</v>
      </c>
      <c r="N383" s="56">
        <v>0</v>
      </c>
      <c r="O383">
        <v>1</v>
      </c>
      <c r="P383">
        <v>0</v>
      </c>
      <c r="Q383">
        <v>0</v>
      </c>
      <c r="R383">
        <v>0</v>
      </c>
    </row>
    <row r="384" spans="1:18">
      <c r="A384">
        <v>383</v>
      </c>
      <c r="B384">
        <v>16</v>
      </c>
      <c r="C384">
        <v>41</v>
      </c>
      <c r="D384">
        <v>1</v>
      </c>
      <c r="E384">
        <v>4</v>
      </c>
      <c r="F384">
        <v>0</v>
      </c>
      <c r="G384" t="s">
        <v>91</v>
      </c>
      <c r="H384">
        <v>1.17</v>
      </c>
      <c r="I384" s="2">
        <v>0.63934000000000002</v>
      </c>
      <c r="J384" s="47">
        <v>2</v>
      </c>
      <c r="K384" t="s">
        <v>0</v>
      </c>
      <c r="L384">
        <v>2</v>
      </c>
      <c r="M384" t="s">
        <v>15</v>
      </c>
      <c r="N384" s="56">
        <v>0</v>
      </c>
      <c r="O384">
        <v>1</v>
      </c>
      <c r="P384">
        <v>0</v>
      </c>
      <c r="Q384">
        <v>0</v>
      </c>
      <c r="R384">
        <v>0</v>
      </c>
    </row>
    <row r="385" spans="1:18">
      <c r="A385">
        <v>384</v>
      </c>
      <c r="B385">
        <v>16</v>
      </c>
      <c r="C385">
        <v>42</v>
      </c>
      <c r="D385">
        <v>1</v>
      </c>
      <c r="E385">
        <v>1</v>
      </c>
      <c r="F385">
        <v>1</v>
      </c>
      <c r="G385" t="s">
        <v>92</v>
      </c>
      <c r="H385">
        <v>1.46</v>
      </c>
      <c r="I385" s="2">
        <v>0.76841999999999999</v>
      </c>
      <c r="J385" s="47">
        <v>3</v>
      </c>
      <c r="K385" t="s">
        <v>65</v>
      </c>
      <c r="L385">
        <v>3</v>
      </c>
      <c r="M385" t="s">
        <v>10</v>
      </c>
      <c r="N385" s="56">
        <v>1</v>
      </c>
      <c r="O385">
        <v>1</v>
      </c>
      <c r="P385">
        <v>1</v>
      </c>
      <c r="Q385">
        <v>0</v>
      </c>
      <c r="R385">
        <v>0</v>
      </c>
    </row>
    <row r="386" spans="1:18">
      <c r="A386">
        <v>385</v>
      </c>
      <c r="B386">
        <v>17</v>
      </c>
      <c r="C386">
        <v>1</v>
      </c>
      <c r="D386">
        <v>4</v>
      </c>
      <c r="E386">
        <v>1</v>
      </c>
      <c r="F386">
        <v>0</v>
      </c>
      <c r="G386" t="s">
        <v>90</v>
      </c>
      <c r="H386">
        <v>1.59</v>
      </c>
      <c r="I386" s="2">
        <v>1.06</v>
      </c>
      <c r="J386" s="47">
        <v>2</v>
      </c>
      <c r="K386" t="s">
        <v>46</v>
      </c>
      <c r="L386">
        <v>3</v>
      </c>
      <c r="M386" t="s">
        <v>46</v>
      </c>
      <c r="N386" s="56">
        <v>2</v>
      </c>
      <c r="O386">
        <v>1</v>
      </c>
      <c r="P386">
        <v>1</v>
      </c>
      <c r="Q386">
        <v>1</v>
      </c>
      <c r="R386">
        <v>0</v>
      </c>
    </row>
    <row r="387" spans="1:18">
      <c r="A387">
        <v>386</v>
      </c>
      <c r="B387">
        <v>17</v>
      </c>
      <c r="C387">
        <v>4</v>
      </c>
      <c r="D387">
        <v>4</v>
      </c>
      <c r="E387">
        <v>1</v>
      </c>
      <c r="F387">
        <v>0</v>
      </c>
      <c r="G387" t="s">
        <v>90</v>
      </c>
      <c r="H387">
        <v>1.66</v>
      </c>
      <c r="I387" s="2">
        <v>1.0184</v>
      </c>
      <c r="J387" s="47">
        <v>1</v>
      </c>
      <c r="K387" t="s">
        <v>66</v>
      </c>
      <c r="L387">
        <v>5</v>
      </c>
      <c r="M387" t="s">
        <v>36</v>
      </c>
      <c r="N387" s="56">
        <v>2</v>
      </c>
      <c r="O387">
        <v>1</v>
      </c>
      <c r="P387">
        <v>1</v>
      </c>
      <c r="Q387">
        <v>1</v>
      </c>
      <c r="R387">
        <v>0</v>
      </c>
    </row>
    <row r="388" spans="1:18">
      <c r="A388">
        <v>387</v>
      </c>
      <c r="B388">
        <v>17</v>
      </c>
      <c r="C388">
        <v>7</v>
      </c>
      <c r="D388">
        <v>4</v>
      </c>
      <c r="E388">
        <v>1</v>
      </c>
      <c r="F388">
        <v>0</v>
      </c>
      <c r="G388" t="s">
        <v>90</v>
      </c>
      <c r="H388">
        <v>1.75</v>
      </c>
      <c r="I388" s="2">
        <v>1.1146499999999999</v>
      </c>
      <c r="J388" s="47">
        <v>2</v>
      </c>
      <c r="K388" t="s">
        <v>20</v>
      </c>
      <c r="L388">
        <v>4</v>
      </c>
      <c r="M388" t="s">
        <v>13</v>
      </c>
      <c r="N388" s="56">
        <v>1</v>
      </c>
      <c r="O388">
        <v>1</v>
      </c>
      <c r="P388">
        <v>1</v>
      </c>
      <c r="Q388">
        <v>0</v>
      </c>
      <c r="R388">
        <v>0</v>
      </c>
    </row>
    <row r="389" spans="1:18">
      <c r="A389">
        <v>388</v>
      </c>
      <c r="B389">
        <v>17</v>
      </c>
      <c r="C389">
        <v>9</v>
      </c>
      <c r="D389">
        <v>4</v>
      </c>
      <c r="E389">
        <v>4</v>
      </c>
      <c r="F389">
        <v>1</v>
      </c>
      <c r="G389" t="s">
        <v>89</v>
      </c>
      <c r="H389">
        <v>0.48</v>
      </c>
      <c r="I389" s="2">
        <v>0.33566000000000001</v>
      </c>
      <c r="J389" s="47">
        <v>2</v>
      </c>
      <c r="K389" t="s">
        <v>15</v>
      </c>
      <c r="L389">
        <v>1</v>
      </c>
      <c r="M389" t="s">
        <v>15</v>
      </c>
      <c r="N389" s="56">
        <v>0</v>
      </c>
      <c r="O389">
        <v>1</v>
      </c>
      <c r="P389">
        <v>0</v>
      </c>
      <c r="Q389">
        <v>0</v>
      </c>
      <c r="R389">
        <v>0</v>
      </c>
    </row>
    <row r="390" spans="1:18">
      <c r="A390">
        <v>389</v>
      </c>
      <c r="B390">
        <v>17</v>
      </c>
      <c r="C390">
        <v>11</v>
      </c>
      <c r="D390">
        <v>4</v>
      </c>
      <c r="E390">
        <v>1</v>
      </c>
      <c r="F390">
        <v>0</v>
      </c>
      <c r="G390" t="s">
        <v>90</v>
      </c>
      <c r="H390">
        <v>0.99</v>
      </c>
      <c r="I390" s="2">
        <v>0.50253999999999999</v>
      </c>
      <c r="J390" s="47">
        <v>2</v>
      </c>
      <c r="K390" t="s">
        <v>0</v>
      </c>
      <c r="L390">
        <v>2</v>
      </c>
      <c r="M390" t="s">
        <v>15</v>
      </c>
      <c r="N390" s="56">
        <v>0</v>
      </c>
      <c r="O390">
        <v>1</v>
      </c>
      <c r="P390">
        <v>0</v>
      </c>
      <c r="Q390">
        <v>0</v>
      </c>
      <c r="R390">
        <v>0</v>
      </c>
    </row>
    <row r="391" spans="1:18">
      <c r="A391">
        <v>390</v>
      </c>
      <c r="B391">
        <v>17</v>
      </c>
      <c r="C391">
        <v>15</v>
      </c>
      <c r="D391">
        <v>4</v>
      </c>
      <c r="E391">
        <v>4</v>
      </c>
      <c r="F391">
        <v>1</v>
      </c>
      <c r="G391" t="s">
        <v>89</v>
      </c>
      <c r="H391">
        <v>2.02</v>
      </c>
      <c r="I391" s="2">
        <v>1.1038300000000001</v>
      </c>
      <c r="J391" s="47">
        <v>2</v>
      </c>
      <c r="K391" t="s">
        <v>24</v>
      </c>
      <c r="L391">
        <v>3</v>
      </c>
      <c r="M391" t="s">
        <v>31</v>
      </c>
      <c r="N391" s="56">
        <v>1</v>
      </c>
      <c r="O391">
        <v>1</v>
      </c>
      <c r="P391">
        <v>0</v>
      </c>
      <c r="Q391">
        <v>0</v>
      </c>
      <c r="R391">
        <v>1</v>
      </c>
    </row>
    <row r="392" spans="1:18">
      <c r="A392">
        <v>391</v>
      </c>
      <c r="B392">
        <v>17</v>
      </c>
      <c r="C392">
        <v>16</v>
      </c>
      <c r="D392">
        <v>4</v>
      </c>
      <c r="E392">
        <v>4</v>
      </c>
      <c r="F392">
        <v>1</v>
      </c>
      <c r="G392" t="s">
        <v>89</v>
      </c>
      <c r="H392">
        <v>0.6</v>
      </c>
      <c r="I392" s="2">
        <v>0.35927999999999999</v>
      </c>
      <c r="J392" s="47">
        <v>2</v>
      </c>
      <c r="K392" t="s">
        <v>15</v>
      </c>
      <c r="L392">
        <v>1</v>
      </c>
      <c r="M392" t="s">
        <v>15</v>
      </c>
      <c r="N392" s="56">
        <v>0</v>
      </c>
      <c r="O392">
        <v>1</v>
      </c>
      <c r="P392">
        <v>0</v>
      </c>
      <c r="Q392">
        <v>0</v>
      </c>
      <c r="R392">
        <v>0</v>
      </c>
    </row>
    <row r="393" spans="1:18">
      <c r="A393">
        <v>392</v>
      </c>
      <c r="B393">
        <v>17</v>
      </c>
      <c r="C393">
        <v>17</v>
      </c>
      <c r="D393">
        <v>1</v>
      </c>
      <c r="E393">
        <v>1</v>
      </c>
      <c r="F393">
        <v>1</v>
      </c>
      <c r="G393" t="s">
        <v>92</v>
      </c>
      <c r="H393">
        <v>2.1</v>
      </c>
      <c r="I393" s="2">
        <v>1.05</v>
      </c>
      <c r="J393" s="47">
        <v>2</v>
      </c>
      <c r="K393" t="s">
        <v>22</v>
      </c>
      <c r="L393">
        <v>4</v>
      </c>
      <c r="M393" t="s">
        <v>46</v>
      </c>
      <c r="N393" s="56">
        <v>2</v>
      </c>
      <c r="O393">
        <v>1</v>
      </c>
      <c r="P393">
        <v>1</v>
      </c>
      <c r="Q393">
        <v>1</v>
      </c>
      <c r="R393">
        <v>0</v>
      </c>
    </row>
    <row r="394" spans="1:18">
      <c r="A394">
        <v>393</v>
      </c>
      <c r="B394">
        <v>17</v>
      </c>
      <c r="C394">
        <v>18</v>
      </c>
      <c r="D394">
        <v>1</v>
      </c>
      <c r="E394">
        <v>1</v>
      </c>
      <c r="F394">
        <v>1</v>
      </c>
      <c r="G394" t="s">
        <v>92</v>
      </c>
      <c r="H394">
        <v>1.86</v>
      </c>
      <c r="I394" s="2">
        <v>0.97894999999999999</v>
      </c>
      <c r="J394" s="47">
        <v>2</v>
      </c>
      <c r="K394" t="s">
        <v>42</v>
      </c>
      <c r="L394">
        <v>3</v>
      </c>
      <c r="M394" t="s">
        <v>13</v>
      </c>
      <c r="N394" s="56">
        <v>1</v>
      </c>
      <c r="O394">
        <v>1</v>
      </c>
      <c r="P394">
        <v>1</v>
      </c>
      <c r="Q394">
        <v>0</v>
      </c>
      <c r="R394">
        <v>0</v>
      </c>
    </row>
    <row r="395" spans="1:18">
      <c r="A395">
        <v>394</v>
      </c>
      <c r="B395">
        <v>17</v>
      </c>
      <c r="C395">
        <v>19</v>
      </c>
      <c r="D395">
        <v>1</v>
      </c>
      <c r="E395">
        <v>1</v>
      </c>
      <c r="F395">
        <v>1</v>
      </c>
      <c r="G395" t="s">
        <v>92</v>
      </c>
      <c r="H395">
        <v>1.42</v>
      </c>
      <c r="I395" s="2">
        <v>0.75936000000000003</v>
      </c>
      <c r="J395" s="47">
        <v>4</v>
      </c>
      <c r="K395" t="s">
        <v>0</v>
      </c>
      <c r="L395">
        <v>2</v>
      </c>
      <c r="M395" t="s">
        <v>15</v>
      </c>
      <c r="N395" s="56">
        <v>0</v>
      </c>
      <c r="O395">
        <v>1</v>
      </c>
      <c r="P395">
        <v>0</v>
      </c>
      <c r="Q395">
        <v>0</v>
      </c>
      <c r="R395">
        <v>0</v>
      </c>
    </row>
    <row r="396" spans="1:18">
      <c r="A396">
        <v>395</v>
      </c>
      <c r="B396">
        <v>17</v>
      </c>
      <c r="C396">
        <v>23</v>
      </c>
      <c r="D396">
        <v>4</v>
      </c>
      <c r="E396">
        <v>1</v>
      </c>
      <c r="F396">
        <v>0</v>
      </c>
      <c r="G396" t="s">
        <v>90</v>
      </c>
      <c r="H396">
        <v>1.63</v>
      </c>
      <c r="I396" s="2">
        <v>0.95882000000000001</v>
      </c>
      <c r="J396" s="47">
        <v>2</v>
      </c>
      <c r="K396" t="s">
        <v>5</v>
      </c>
      <c r="L396">
        <v>3</v>
      </c>
      <c r="M396" t="s">
        <v>13</v>
      </c>
      <c r="N396" s="56">
        <v>1</v>
      </c>
      <c r="O396">
        <v>1</v>
      </c>
      <c r="P396">
        <v>1</v>
      </c>
      <c r="Q396">
        <v>0</v>
      </c>
      <c r="R396">
        <v>0</v>
      </c>
    </row>
    <row r="397" spans="1:18">
      <c r="A397">
        <v>396</v>
      </c>
      <c r="B397">
        <v>17</v>
      </c>
      <c r="C397">
        <v>24</v>
      </c>
      <c r="D397">
        <v>1</v>
      </c>
      <c r="E397">
        <v>1</v>
      </c>
      <c r="F397">
        <v>1</v>
      </c>
      <c r="G397" t="s">
        <v>92</v>
      </c>
      <c r="H397">
        <v>0.66</v>
      </c>
      <c r="I397" s="2">
        <v>0.33502999999999999</v>
      </c>
      <c r="J397" s="47">
        <v>5</v>
      </c>
      <c r="K397" t="s">
        <v>0</v>
      </c>
      <c r="L397">
        <v>2</v>
      </c>
      <c r="M397" t="s">
        <v>15</v>
      </c>
      <c r="N397" s="56">
        <v>0</v>
      </c>
      <c r="O397">
        <v>1</v>
      </c>
      <c r="P397">
        <v>0</v>
      </c>
      <c r="Q397">
        <v>0</v>
      </c>
      <c r="R397">
        <v>0</v>
      </c>
    </row>
    <row r="398" spans="1:18">
      <c r="A398">
        <v>397</v>
      </c>
      <c r="B398">
        <v>17</v>
      </c>
      <c r="C398">
        <v>26</v>
      </c>
      <c r="D398">
        <v>1</v>
      </c>
      <c r="E398">
        <v>1</v>
      </c>
      <c r="F398">
        <v>1</v>
      </c>
      <c r="G398" t="s">
        <v>92</v>
      </c>
      <c r="H398">
        <v>1.63</v>
      </c>
      <c r="I398" s="2">
        <v>0.84455999999999998</v>
      </c>
      <c r="J398" s="47">
        <v>5</v>
      </c>
      <c r="K398" t="s">
        <v>20</v>
      </c>
      <c r="L398">
        <v>4</v>
      </c>
      <c r="M398" t="s">
        <v>13</v>
      </c>
      <c r="N398" s="56">
        <v>1</v>
      </c>
      <c r="O398">
        <v>1</v>
      </c>
      <c r="P398">
        <v>1</v>
      </c>
      <c r="Q398">
        <v>0</v>
      </c>
      <c r="R398">
        <v>0</v>
      </c>
    </row>
    <row r="399" spans="1:18">
      <c r="A399">
        <v>398</v>
      </c>
      <c r="B399">
        <v>17</v>
      </c>
      <c r="C399">
        <v>27</v>
      </c>
      <c r="D399">
        <v>4</v>
      </c>
      <c r="E399">
        <v>4</v>
      </c>
      <c r="F399">
        <v>1</v>
      </c>
      <c r="G399" t="s">
        <v>89</v>
      </c>
      <c r="H399">
        <v>0.79</v>
      </c>
      <c r="I399" s="2">
        <v>0.55245</v>
      </c>
      <c r="J399" s="47">
        <v>3</v>
      </c>
      <c r="K399" t="s">
        <v>15</v>
      </c>
      <c r="L399">
        <v>1</v>
      </c>
      <c r="M399" t="s">
        <v>15</v>
      </c>
      <c r="N399" s="56">
        <v>0</v>
      </c>
      <c r="O399">
        <v>1</v>
      </c>
      <c r="P399">
        <v>0</v>
      </c>
      <c r="Q399">
        <v>0</v>
      </c>
      <c r="R399">
        <v>0</v>
      </c>
    </row>
    <row r="400" spans="1:18">
      <c r="A400">
        <v>399</v>
      </c>
      <c r="B400">
        <v>17</v>
      </c>
      <c r="C400">
        <v>28</v>
      </c>
      <c r="D400">
        <v>1</v>
      </c>
      <c r="E400">
        <v>1</v>
      </c>
      <c r="F400">
        <v>1</v>
      </c>
      <c r="G400" t="s">
        <v>92</v>
      </c>
      <c r="H400">
        <v>1.66</v>
      </c>
      <c r="I400" s="2">
        <v>0.88770000000000004</v>
      </c>
      <c r="J400" s="47">
        <v>2</v>
      </c>
      <c r="K400" t="s">
        <v>13</v>
      </c>
      <c r="L400">
        <v>2</v>
      </c>
      <c r="M400" t="s">
        <v>13</v>
      </c>
      <c r="N400" s="56">
        <v>1</v>
      </c>
      <c r="O400">
        <v>1</v>
      </c>
      <c r="P400">
        <v>1</v>
      </c>
      <c r="Q400">
        <v>0</v>
      </c>
      <c r="R400">
        <v>0</v>
      </c>
    </row>
    <row r="401" spans="1:18">
      <c r="A401">
        <v>400</v>
      </c>
      <c r="B401">
        <v>17</v>
      </c>
      <c r="C401">
        <v>29</v>
      </c>
      <c r="D401">
        <v>4</v>
      </c>
      <c r="E401">
        <v>1</v>
      </c>
      <c r="F401">
        <v>0</v>
      </c>
      <c r="G401" t="s">
        <v>90</v>
      </c>
      <c r="H401">
        <v>1.89</v>
      </c>
      <c r="I401" s="2">
        <v>1.13174</v>
      </c>
      <c r="J401" s="47">
        <v>2</v>
      </c>
      <c r="K401" t="s">
        <v>5</v>
      </c>
      <c r="L401">
        <v>3</v>
      </c>
      <c r="M401" t="s">
        <v>13</v>
      </c>
      <c r="N401" s="56">
        <v>1</v>
      </c>
      <c r="O401">
        <v>1</v>
      </c>
      <c r="P401">
        <v>1</v>
      </c>
      <c r="Q401">
        <v>0</v>
      </c>
      <c r="R401">
        <v>0</v>
      </c>
    </row>
    <row r="402" spans="1:18">
      <c r="A402">
        <v>401</v>
      </c>
      <c r="B402">
        <v>17</v>
      </c>
      <c r="C402">
        <v>30</v>
      </c>
      <c r="D402">
        <v>4</v>
      </c>
      <c r="E402">
        <v>1</v>
      </c>
      <c r="F402">
        <v>0</v>
      </c>
      <c r="G402" t="s">
        <v>90</v>
      </c>
      <c r="H402">
        <v>1.86</v>
      </c>
      <c r="I402" s="2">
        <v>1.09412</v>
      </c>
      <c r="J402" s="47">
        <v>2</v>
      </c>
      <c r="K402" t="s">
        <v>5</v>
      </c>
      <c r="L402">
        <v>3</v>
      </c>
      <c r="M402" t="s">
        <v>13</v>
      </c>
      <c r="N402" s="56">
        <v>1</v>
      </c>
      <c r="O402">
        <v>1</v>
      </c>
      <c r="P402">
        <v>1</v>
      </c>
      <c r="Q402">
        <v>0</v>
      </c>
      <c r="R402">
        <v>0</v>
      </c>
    </row>
    <row r="403" spans="1:18">
      <c r="A403">
        <v>402</v>
      </c>
      <c r="B403">
        <v>17</v>
      </c>
      <c r="C403">
        <v>34</v>
      </c>
      <c r="D403">
        <v>1</v>
      </c>
      <c r="E403">
        <v>1</v>
      </c>
      <c r="F403">
        <v>1</v>
      </c>
      <c r="G403" t="s">
        <v>92</v>
      </c>
      <c r="H403">
        <v>1.98</v>
      </c>
      <c r="I403" s="2">
        <v>0.95652000000000004</v>
      </c>
      <c r="J403" s="47">
        <v>4</v>
      </c>
      <c r="K403" t="s">
        <v>0</v>
      </c>
      <c r="L403">
        <v>2</v>
      </c>
      <c r="M403" t="s">
        <v>15</v>
      </c>
      <c r="N403" s="56">
        <v>0</v>
      </c>
      <c r="O403">
        <v>1</v>
      </c>
      <c r="P403">
        <v>0</v>
      </c>
      <c r="Q403">
        <v>0</v>
      </c>
      <c r="R403">
        <v>0</v>
      </c>
    </row>
    <row r="404" spans="1:18">
      <c r="A404">
        <v>403</v>
      </c>
      <c r="B404">
        <v>17</v>
      </c>
      <c r="C404">
        <v>35</v>
      </c>
      <c r="D404">
        <v>1</v>
      </c>
      <c r="E404">
        <v>1</v>
      </c>
      <c r="F404">
        <v>1</v>
      </c>
      <c r="G404" t="s">
        <v>92</v>
      </c>
      <c r="H404">
        <v>1.82</v>
      </c>
      <c r="I404" s="2">
        <v>0.97326000000000001</v>
      </c>
      <c r="J404" s="47">
        <v>3</v>
      </c>
      <c r="K404" t="s">
        <v>0</v>
      </c>
      <c r="L404">
        <v>2</v>
      </c>
      <c r="M404" t="s">
        <v>15</v>
      </c>
      <c r="N404" s="56">
        <v>0</v>
      </c>
      <c r="O404">
        <v>1</v>
      </c>
      <c r="P404">
        <v>0</v>
      </c>
      <c r="Q404">
        <v>0</v>
      </c>
      <c r="R404">
        <v>0</v>
      </c>
    </row>
    <row r="405" spans="1:18">
      <c r="A405">
        <v>404</v>
      </c>
      <c r="B405">
        <v>17</v>
      </c>
      <c r="C405">
        <v>36</v>
      </c>
      <c r="D405">
        <v>1</v>
      </c>
      <c r="E405">
        <v>1</v>
      </c>
      <c r="F405">
        <v>1</v>
      </c>
      <c r="G405" t="s">
        <v>92</v>
      </c>
      <c r="H405">
        <v>1.38</v>
      </c>
      <c r="I405" s="2">
        <v>0.73797000000000001</v>
      </c>
      <c r="J405" s="47">
        <v>5</v>
      </c>
      <c r="K405" t="s">
        <v>53</v>
      </c>
      <c r="L405">
        <v>4</v>
      </c>
      <c r="M405" t="s">
        <v>15</v>
      </c>
      <c r="N405" s="56">
        <v>0</v>
      </c>
      <c r="O405">
        <v>1</v>
      </c>
      <c r="P405">
        <v>0</v>
      </c>
      <c r="Q405">
        <v>0</v>
      </c>
      <c r="R405">
        <v>0</v>
      </c>
    </row>
    <row r="406" spans="1:18">
      <c r="A406">
        <v>405</v>
      </c>
      <c r="B406">
        <v>17</v>
      </c>
      <c r="C406">
        <v>37</v>
      </c>
      <c r="D406">
        <v>4</v>
      </c>
      <c r="E406">
        <v>1</v>
      </c>
      <c r="F406">
        <v>0</v>
      </c>
      <c r="G406" t="s">
        <v>90</v>
      </c>
      <c r="H406">
        <v>0.61</v>
      </c>
      <c r="I406" s="2">
        <v>0.34462999999999999</v>
      </c>
      <c r="J406" s="47">
        <v>2</v>
      </c>
      <c r="K406" t="s">
        <v>15</v>
      </c>
      <c r="L406">
        <v>1</v>
      </c>
      <c r="M406" t="s">
        <v>15</v>
      </c>
      <c r="N406" s="56">
        <v>0</v>
      </c>
      <c r="O406">
        <v>1</v>
      </c>
      <c r="P406">
        <v>0</v>
      </c>
      <c r="Q406">
        <v>0</v>
      </c>
      <c r="R406">
        <v>0</v>
      </c>
    </row>
    <row r="407" spans="1:18">
      <c r="A407">
        <v>406</v>
      </c>
      <c r="B407">
        <v>17</v>
      </c>
      <c r="C407">
        <v>39</v>
      </c>
      <c r="D407">
        <v>1</v>
      </c>
      <c r="E407">
        <v>1</v>
      </c>
      <c r="F407">
        <v>1</v>
      </c>
      <c r="G407" t="s">
        <v>92</v>
      </c>
      <c r="H407">
        <v>1.23</v>
      </c>
      <c r="I407" s="2">
        <v>0.65774999999999995</v>
      </c>
      <c r="J407" s="47">
        <v>4</v>
      </c>
      <c r="K407" t="s">
        <v>15</v>
      </c>
      <c r="L407">
        <v>1</v>
      </c>
      <c r="M407" t="s">
        <v>15</v>
      </c>
      <c r="N407" s="56">
        <v>0</v>
      </c>
      <c r="O407">
        <v>1</v>
      </c>
      <c r="P407">
        <v>0</v>
      </c>
      <c r="Q407">
        <v>0</v>
      </c>
      <c r="R407">
        <v>0</v>
      </c>
    </row>
    <row r="408" spans="1:18">
      <c r="A408">
        <v>407</v>
      </c>
      <c r="B408">
        <v>17</v>
      </c>
      <c r="C408">
        <v>41</v>
      </c>
      <c r="D408">
        <v>1</v>
      </c>
      <c r="E408">
        <v>1</v>
      </c>
      <c r="F408">
        <v>1</v>
      </c>
      <c r="G408" t="s">
        <v>92</v>
      </c>
      <c r="H408">
        <v>0.72</v>
      </c>
      <c r="I408" s="2">
        <v>0.39344000000000001</v>
      </c>
      <c r="J408" s="47">
        <v>4</v>
      </c>
      <c r="K408" t="s">
        <v>0</v>
      </c>
      <c r="L408">
        <v>2</v>
      </c>
      <c r="M408" t="s">
        <v>15</v>
      </c>
      <c r="N408" s="56">
        <v>0</v>
      </c>
      <c r="O408">
        <v>1</v>
      </c>
      <c r="P408">
        <v>0</v>
      </c>
      <c r="Q408">
        <v>0</v>
      </c>
      <c r="R408">
        <v>0</v>
      </c>
    </row>
    <row r="409" spans="1:18">
      <c r="A409">
        <v>408</v>
      </c>
      <c r="B409">
        <v>17</v>
      </c>
      <c r="C409">
        <v>42</v>
      </c>
      <c r="D409">
        <v>1</v>
      </c>
      <c r="G409" t="s">
        <v>88</v>
      </c>
      <c r="I409" s="2"/>
      <c r="J409" s="47"/>
      <c r="N409" s="56"/>
    </row>
    <row r="410" spans="1:18">
      <c r="A410">
        <v>409</v>
      </c>
      <c r="B410">
        <v>18</v>
      </c>
      <c r="C410">
        <v>1</v>
      </c>
      <c r="D410">
        <v>4</v>
      </c>
      <c r="E410">
        <v>4</v>
      </c>
      <c r="F410">
        <v>1</v>
      </c>
      <c r="G410" t="s">
        <v>89</v>
      </c>
      <c r="H410">
        <v>1.45</v>
      </c>
      <c r="I410" s="2">
        <v>0.96667000000000003</v>
      </c>
      <c r="J410" s="47">
        <v>4</v>
      </c>
      <c r="K410" t="s">
        <v>2</v>
      </c>
      <c r="L410">
        <v>3</v>
      </c>
      <c r="M410" t="s">
        <v>15</v>
      </c>
      <c r="N410" s="56">
        <v>0</v>
      </c>
      <c r="O410">
        <v>1</v>
      </c>
      <c r="P410">
        <v>0</v>
      </c>
      <c r="Q410">
        <v>0</v>
      </c>
      <c r="R410">
        <v>0</v>
      </c>
    </row>
    <row r="411" spans="1:18">
      <c r="A411">
        <v>410</v>
      </c>
      <c r="B411">
        <v>18</v>
      </c>
      <c r="C411">
        <v>4</v>
      </c>
      <c r="D411">
        <v>4</v>
      </c>
      <c r="E411">
        <v>4</v>
      </c>
      <c r="F411">
        <v>1</v>
      </c>
      <c r="G411" t="s">
        <v>89</v>
      </c>
      <c r="H411">
        <v>1.47</v>
      </c>
      <c r="I411" s="2">
        <v>0.90183999999999997</v>
      </c>
      <c r="J411" s="47">
        <v>3</v>
      </c>
      <c r="K411" t="s">
        <v>2</v>
      </c>
      <c r="L411">
        <v>3</v>
      </c>
      <c r="M411" t="s">
        <v>15</v>
      </c>
      <c r="N411" s="56">
        <v>0</v>
      </c>
      <c r="O411">
        <v>1</v>
      </c>
      <c r="P411">
        <v>0</v>
      </c>
      <c r="Q411">
        <v>0</v>
      </c>
      <c r="R411">
        <v>0</v>
      </c>
    </row>
    <row r="412" spans="1:18">
      <c r="A412">
        <v>411</v>
      </c>
      <c r="B412">
        <v>18</v>
      </c>
      <c r="C412">
        <v>7</v>
      </c>
      <c r="D412">
        <v>4</v>
      </c>
      <c r="E412">
        <v>4</v>
      </c>
      <c r="F412">
        <v>1</v>
      </c>
      <c r="G412" t="s">
        <v>89</v>
      </c>
      <c r="H412">
        <v>1.17</v>
      </c>
      <c r="I412" s="2">
        <v>0.74521999999999999</v>
      </c>
      <c r="J412" s="47">
        <v>4</v>
      </c>
      <c r="K412" t="s">
        <v>53</v>
      </c>
      <c r="L412">
        <v>4</v>
      </c>
      <c r="M412" t="s">
        <v>15</v>
      </c>
      <c r="N412" s="56">
        <v>0</v>
      </c>
      <c r="O412">
        <v>1</v>
      </c>
      <c r="P412">
        <v>0</v>
      </c>
      <c r="Q412">
        <v>0</v>
      </c>
      <c r="R412">
        <v>0</v>
      </c>
    </row>
    <row r="413" spans="1:18">
      <c r="A413">
        <v>412</v>
      </c>
      <c r="B413">
        <v>18</v>
      </c>
      <c r="C413">
        <v>9</v>
      </c>
      <c r="D413">
        <v>4</v>
      </c>
      <c r="E413">
        <v>4</v>
      </c>
      <c r="F413">
        <v>1</v>
      </c>
      <c r="G413" t="s">
        <v>89</v>
      </c>
      <c r="H413">
        <v>1.24</v>
      </c>
      <c r="I413" s="2">
        <v>0.86712999999999996</v>
      </c>
      <c r="J413" s="47">
        <v>3</v>
      </c>
      <c r="K413" t="s">
        <v>63</v>
      </c>
      <c r="L413">
        <v>5</v>
      </c>
      <c r="M413" t="s">
        <v>15</v>
      </c>
      <c r="N413" s="56">
        <v>0</v>
      </c>
      <c r="O413">
        <v>1</v>
      </c>
      <c r="P413">
        <v>0</v>
      </c>
      <c r="Q413">
        <v>0</v>
      </c>
      <c r="R413">
        <v>0</v>
      </c>
    </row>
    <row r="414" spans="1:18">
      <c r="A414">
        <v>413</v>
      </c>
      <c r="B414">
        <v>18</v>
      </c>
      <c r="C414">
        <v>11</v>
      </c>
      <c r="D414">
        <v>4</v>
      </c>
      <c r="E414">
        <v>1</v>
      </c>
      <c r="F414">
        <v>0</v>
      </c>
      <c r="G414" t="s">
        <v>90</v>
      </c>
      <c r="H414">
        <v>1.72</v>
      </c>
      <c r="I414" s="2">
        <v>0.87309999999999999</v>
      </c>
      <c r="J414" s="47">
        <v>2</v>
      </c>
      <c r="K414" t="s">
        <v>0</v>
      </c>
      <c r="L414">
        <v>2</v>
      </c>
      <c r="M414" t="s">
        <v>15</v>
      </c>
      <c r="N414" s="56">
        <v>0</v>
      </c>
      <c r="O414">
        <v>1</v>
      </c>
      <c r="P414">
        <v>0</v>
      </c>
      <c r="Q414">
        <v>0</v>
      </c>
      <c r="R414">
        <v>0</v>
      </c>
    </row>
    <row r="415" spans="1:18">
      <c r="A415">
        <v>414</v>
      </c>
      <c r="B415">
        <v>18</v>
      </c>
      <c r="C415">
        <v>15</v>
      </c>
      <c r="D415">
        <v>4</v>
      </c>
      <c r="E415">
        <v>4</v>
      </c>
      <c r="F415">
        <v>1</v>
      </c>
      <c r="G415" t="s">
        <v>89</v>
      </c>
      <c r="H415">
        <v>0.86</v>
      </c>
      <c r="I415" s="2">
        <v>0.46994999999999998</v>
      </c>
      <c r="J415" s="47">
        <v>3</v>
      </c>
      <c r="K415" t="s">
        <v>0</v>
      </c>
      <c r="L415">
        <v>2</v>
      </c>
      <c r="M415" t="s">
        <v>15</v>
      </c>
      <c r="N415" s="56">
        <v>0</v>
      </c>
      <c r="O415">
        <v>1</v>
      </c>
      <c r="P415">
        <v>0</v>
      </c>
      <c r="Q415">
        <v>0</v>
      </c>
      <c r="R415">
        <v>0</v>
      </c>
    </row>
    <row r="416" spans="1:18">
      <c r="A416">
        <v>415</v>
      </c>
      <c r="B416">
        <v>18</v>
      </c>
      <c r="C416">
        <v>16</v>
      </c>
      <c r="D416">
        <v>4</v>
      </c>
      <c r="E416">
        <v>4</v>
      </c>
      <c r="F416">
        <v>1</v>
      </c>
      <c r="G416" t="s">
        <v>89</v>
      </c>
      <c r="H416">
        <v>1.76</v>
      </c>
      <c r="I416" s="2">
        <v>1.05389</v>
      </c>
      <c r="J416" s="47">
        <v>3</v>
      </c>
      <c r="K416" t="s">
        <v>5</v>
      </c>
      <c r="L416">
        <v>3</v>
      </c>
      <c r="M416" t="s">
        <v>13</v>
      </c>
      <c r="N416" s="56">
        <v>1</v>
      </c>
      <c r="O416">
        <v>1</v>
      </c>
      <c r="P416">
        <v>1</v>
      </c>
      <c r="Q416">
        <v>0</v>
      </c>
      <c r="R416">
        <v>0</v>
      </c>
    </row>
    <row r="417" spans="1:18">
      <c r="A417">
        <v>416</v>
      </c>
      <c r="B417">
        <v>18</v>
      </c>
      <c r="C417">
        <v>17</v>
      </c>
      <c r="D417">
        <v>1</v>
      </c>
      <c r="E417">
        <v>1</v>
      </c>
      <c r="F417">
        <v>1</v>
      </c>
      <c r="G417" t="s">
        <v>92</v>
      </c>
      <c r="H417">
        <v>1.59</v>
      </c>
      <c r="I417" s="2">
        <v>0.79500000000000004</v>
      </c>
      <c r="J417" s="47">
        <v>4</v>
      </c>
      <c r="K417" t="s">
        <v>0</v>
      </c>
      <c r="L417">
        <v>2</v>
      </c>
      <c r="M417" t="s">
        <v>15</v>
      </c>
      <c r="N417" s="56">
        <v>0</v>
      </c>
      <c r="O417">
        <v>1</v>
      </c>
      <c r="P417">
        <v>0</v>
      </c>
      <c r="Q417">
        <v>0</v>
      </c>
      <c r="R417">
        <v>0</v>
      </c>
    </row>
    <row r="418" spans="1:18">
      <c r="A418">
        <v>417</v>
      </c>
      <c r="B418">
        <v>18</v>
      </c>
      <c r="C418">
        <v>18</v>
      </c>
      <c r="D418">
        <v>1</v>
      </c>
      <c r="E418">
        <v>4</v>
      </c>
      <c r="F418">
        <v>0</v>
      </c>
      <c r="G418" t="s">
        <v>91</v>
      </c>
      <c r="H418">
        <v>1.18</v>
      </c>
      <c r="I418" s="2">
        <v>0.62104999999999999</v>
      </c>
      <c r="J418" s="47">
        <v>2</v>
      </c>
      <c r="K418" t="s">
        <v>5</v>
      </c>
      <c r="L418">
        <v>3</v>
      </c>
      <c r="M418" t="s">
        <v>13</v>
      </c>
      <c r="N418" s="56">
        <v>1</v>
      </c>
      <c r="O418">
        <v>1</v>
      </c>
      <c r="P418">
        <v>1</v>
      </c>
      <c r="Q418">
        <v>0</v>
      </c>
      <c r="R418">
        <v>0</v>
      </c>
    </row>
    <row r="419" spans="1:18">
      <c r="A419">
        <v>418</v>
      </c>
      <c r="B419">
        <v>18</v>
      </c>
      <c r="C419">
        <v>19</v>
      </c>
      <c r="D419">
        <v>1</v>
      </c>
      <c r="E419">
        <v>1</v>
      </c>
      <c r="F419">
        <v>1</v>
      </c>
      <c r="G419" t="s">
        <v>92</v>
      </c>
      <c r="H419">
        <v>1.1000000000000001</v>
      </c>
      <c r="I419" s="2">
        <v>0.58823999999999999</v>
      </c>
      <c r="J419" s="47">
        <v>4</v>
      </c>
      <c r="K419" t="s">
        <v>0</v>
      </c>
      <c r="L419">
        <v>2</v>
      </c>
      <c r="M419" t="s">
        <v>15</v>
      </c>
      <c r="N419" s="56">
        <v>0</v>
      </c>
      <c r="O419">
        <v>1</v>
      </c>
      <c r="P419">
        <v>0</v>
      </c>
      <c r="Q419">
        <v>0</v>
      </c>
      <c r="R419">
        <v>0</v>
      </c>
    </row>
    <row r="420" spans="1:18">
      <c r="A420">
        <v>419</v>
      </c>
      <c r="B420">
        <v>18</v>
      </c>
      <c r="C420">
        <v>23</v>
      </c>
      <c r="D420">
        <v>4</v>
      </c>
      <c r="E420">
        <v>4</v>
      </c>
      <c r="F420">
        <v>1</v>
      </c>
      <c r="G420" t="s">
        <v>89</v>
      </c>
      <c r="H420">
        <v>1.38</v>
      </c>
      <c r="I420" s="2">
        <v>0.81176000000000004</v>
      </c>
      <c r="J420" s="47">
        <v>4</v>
      </c>
      <c r="K420" t="s">
        <v>15</v>
      </c>
      <c r="L420">
        <v>1</v>
      </c>
      <c r="M420" t="s">
        <v>15</v>
      </c>
      <c r="N420" s="56">
        <v>0</v>
      </c>
      <c r="O420">
        <v>1</v>
      </c>
      <c r="P420">
        <v>0</v>
      </c>
      <c r="Q420">
        <v>0</v>
      </c>
      <c r="R420">
        <v>0</v>
      </c>
    </row>
    <row r="421" spans="1:18">
      <c r="A421">
        <v>420</v>
      </c>
      <c r="B421">
        <v>18</v>
      </c>
      <c r="C421">
        <v>24</v>
      </c>
      <c r="D421">
        <v>1</v>
      </c>
      <c r="E421">
        <v>1</v>
      </c>
      <c r="F421">
        <v>1</v>
      </c>
      <c r="G421" t="s">
        <v>92</v>
      </c>
      <c r="H421">
        <v>1.73</v>
      </c>
      <c r="I421" s="2">
        <v>0.87817000000000001</v>
      </c>
      <c r="J421" s="47">
        <v>5</v>
      </c>
      <c r="K421" t="s">
        <v>2</v>
      </c>
      <c r="L421">
        <v>3</v>
      </c>
      <c r="M421" t="s">
        <v>15</v>
      </c>
      <c r="N421" s="56">
        <v>0</v>
      </c>
      <c r="O421">
        <v>1</v>
      </c>
      <c r="P421">
        <v>0</v>
      </c>
      <c r="Q421">
        <v>0</v>
      </c>
      <c r="R421">
        <v>0</v>
      </c>
    </row>
    <row r="422" spans="1:18">
      <c r="A422">
        <v>421</v>
      </c>
      <c r="B422">
        <v>18</v>
      </c>
      <c r="C422">
        <v>26</v>
      </c>
      <c r="D422">
        <v>1</v>
      </c>
      <c r="E422">
        <v>1</v>
      </c>
      <c r="F422">
        <v>1</v>
      </c>
      <c r="G422" t="s">
        <v>92</v>
      </c>
      <c r="H422">
        <v>1.7</v>
      </c>
      <c r="I422" s="2">
        <v>0.88083</v>
      </c>
      <c r="J422" s="47">
        <v>5</v>
      </c>
      <c r="K422" t="s">
        <v>20</v>
      </c>
      <c r="L422">
        <v>4</v>
      </c>
      <c r="M422" t="s">
        <v>13</v>
      </c>
      <c r="N422" s="56">
        <v>1</v>
      </c>
      <c r="O422">
        <v>1</v>
      </c>
      <c r="P422">
        <v>1</v>
      </c>
      <c r="Q422">
        <v>0</v>
      </c>
      <c r="R422">
        <v>0</v>
      </c>
    </row>
    <row r="423" spans="1:18">
      <c r="A423">
        <v>422</v>
      </c>
      <c r="B423">
        <v>18</v>
      </c>
      <c r="C423">
        <v>27</v>
      </c>
      <c r="D423">
        <v>4</v>
      </c>
      <c r="E423">
        <v>4</v>
      </c>
      <c r="F423">
        <v>1</v>
      </c>
      <c r="G423" t="s">
        <v>89</v>
      </c>
      <c r="H423">
        <v>1.41</v>
      </c>
      <c r="I423" s="2">
        <v>0.98601000000000005</v>
      </c>
      <c r="J423" s="47">
        <v>3</v>
      </c>
      <c r="K423" t="s">
        <v>53</v>
      </c>
      <c r="L423">
        <v>4</v>
      </c>
      <c r="M423" t="s">
        <v>15</v>
      </c>
      <c r="N423" s="56">
        <v>0</v>
      </c>
      <c r="O423">
        <v>1</v>
      </c>
      <c r="P423">
        <v>0</v>
      </c>
      <c r="Q423">
        <v>0</v>
      </c>
      <c r="R423">
        <v>0</v>
      </c>
    </row>
    <row r="424" spans="1:18">
      <c r="A424">
        <v>423</v>
      </c>
      <c r="B424">
        <v>18</v>
      </c>
      <c r="C424">
        <v>28</v>
      </c>
      <c r="D424">
        <v>1</v>
      </c>
      <c r="E424">
        <v>4</v>
      </c>
      <c r="F424">
        <v>0</v>
      </c>
      <c r="G424" t="s">
        <v>91</v>
      </c>
      <c r="H424">
        <v>1.71</v>
      </c>
      <c r="I424" s="2">
        <v>0.91444000000000003</v>
      </c>
      <c r="J424" s="47">
        <v>3</v>
      </c>
      <c r="K424" t="s">
        <v>2</v>
      </c>
      <c r="L424">
        <v>3</v>
      </c>
      <c r="M424" t="s">
        <v>15</v>
      </c>
      <c r="N424" s="56">
        <v>0</v>
      </c>
      <c r="O424">
        <v>1</v>
      </c>
      <c r="P424">
        <v>0</v>
      </c>
      <c r="Q424">
        <v>0</v>
      </c>
      <c r="R424">
        <v>0</v>
      </c>
    </row>
    <row r="425" spans="1:18">
      <c r="A425">
        <v>424</v>
      </c>
      <c r="B425">
        <v>18</v>
      </c>
      <c r="C425">
        <v>29</v>
      </c>
      <c r="D425">
        <v>4</v>
      </c>
      <c r="E425">
        <v>4</v>
      </c>
      <c r="F425">
        <v>1</v>
      </c>
      <c r="G425" t="s">
        <v>89</v>
      </c>
      <c r="H425">
        <v>1.69</v>
      </c>
      <c r="I425" s="2">
        <v>1.0119800000000001</v>
      </c>
      <c r="J425" s="47">
        <v>2</v>
      </c>
      <c r="K425" t="s">
        <v>0</v>
      </c>
      <c r="L425">
        <v>2</v>
      </c>
      <c r="M425" t="s">
        <v>15</v>
      </c>
      <c r="N425" s="56">
        <v>0</v>
      </c>
      <c r="O425">
        <v>1</v>
      </c>
      <c r="P425">
        <v>0</v>
      </c>
      <c r="Q425">
        <v>0</v>
      </c>
      <c r="R425">
        <v>0</v>
      </c>
    </row>
    <row r="426" spans="1:18">
      <c r="A426">
        <v>425</v>
      </c>
      <c r="B426">
        <v>18</v>
      </c>
      <c r="C426">
        <v>30</v>
      </c>
      <c r="D426">
        <v>4</v>
      </c>
      <c r="E426">
        <v>1</v>
      </c>
      <c r="F426">
        <v>0</v>
      </c>
      <c r="G426" t="s">
        <v>90</v>
      </c>
      <c r="H426">
        <v>1.43</v>
      </c>
      <c r="I426" s="2">
        <v>0.84118000000000004</v>
      </c>
      <c r="J426" s="47">
        <v>1</v>
      </c>
      <c r="K426" t="s">
        <v>13</v>
      </c>
      <c r="L426">
        <v>2</v>
      </c>
      <c r="M426" t="s">
        <v>13</v>
      </c>
      <c r="N426" s="56">
        <v>1</v>
      </c>
      <c r="O426">
        <v>1</v>
      </c>
      <c r="P426">
        <v>1</v>
      </c>
      <c r="Q426">
        <v>0</v>
      </c>
      <c r="R426">
        <v>0</v>
      </c>
    </row>
    <row r="427" spans="1:18">
      <c r="A427">
        <v>426</v>
      </c>
      <c r="B427">
        <v>18</v>
      </c>
      <c r="C427">
        <v>34</v>
      </c>
      <c r="D427">
        <v>1</v>
      </c>
      <c r="E427">
        <v>1</v>
      </c>
      <c r="F427">
        <v>1</v>
      </c>
      <c r="G427" t="s">
        <v>92</v>
      </c>
      <c r="H427">
        <v>1.61</v>
      </c>
      <c r="I427" s="2">
        <v>0.77778000000000003</v>
      </c>
      <c r="J427" s="47">
        <v>4</v>
      </c>
      <c r="K427" t="s">
        <v>0</v>
      </c>
      <c r="L427">
        <v>2</v>
      </c>
      <c r="M427" t="s">
        <v>15</v>
      </c>
      <c r="N427" s="56">
        <v>0</v>
      </c>
      <c r="O427">
        <v>1</v>
      </c>
      <c r="P427">
        <v>0</v>
      </c>
      <c r="Q427">
        <v>0</v>
      </c>
      <c r="R427">
        <v>0</v>
      </c>
    </row>
    <row r="428" spans="1:18">
      <c r="A428">
        <v>427</v>
      </c>
      <c r="B428">
        <v>18</v>
      </c>
      <c r="C428">
        <v>35</v>
      </c>
      <c r="D428">
        <v>1</v>
      </c>
      <c r="E428">
        <v>1</v>
      </c>
      <c r="F428">
        <v>1</v>
      </c>
      <c r="G428" t="s">
        <v>92</v>
      </c>
      <c r="H428">
        <v>1.76</v>
      </c>
      <c r="I428" s="2">
        <v>0.94118000000000002</v>
      </c>
      <c r="J428" s="47">
        <v>3</v>
      </c>
      <c r="K428" t="s">
        <v>0</v>
      </c>
      <c r="L428">
        <v>2</v>
      </c>
      <c r="M428" t="s">
        <v>15</v>
      </c>
      <c r="N428" s="56">
        <v>0</v>
      </c>
      <c r="O428">
        <v>1</v>
      </c>
      <c r="P428">
        <v>0</v>
      </c>
      <c r="Q428">
        <v>0</v>
      </c>
      <c r="R428">
        <v>0</v>
      </c>
    </row>
    <row r="429" spans="1:18">
      <c r="A429">
        <v>428</v>
      </c>
      <c r="B429">
        <v>18</v>
      </c>
      <c r="C429">
        <v>36</v>
      </c>
      <c r="D429">
        <v>1</v>
      </c>
      <c r="E429">
        <v>1</v>
      </c>
      <c r="F429">
        <v>1</v>
      </c>
      <c r="G429" t="s">
        <v>92</v>
      </c>
      <c r="H429">
        <v>1.49</v>
      </c>
      <c r="I429" s="2">
        <v>0.79679</v>
      </c>
      <c r="J429" s="47">
        <v>4</v>
      </c>
      <c r="K429" t="s">
        <v>2</v>
      </c>
      <c r="L429">
        <v>3</v>
      </c>
      <c r="M429" t="s">
        <v>15</v>
      </c>
      <c r="N429" s="56">
        <v>0</v>
      </c>
      <c r="O429">
        <v>1</v>
      </c>
      <c r="P429">
        <v>0</v>
      </c>
      <c r="Q429">
        <v>0</v>
      </c>
      <c r="R429">
        <v>0</v>
      </c>
    </row>
    <row r="430" spans="1:18">
      <c r="A430">
        <v>429</v>
      </c>
      <c r="B430">
        <v>18</v>
      </c>
      <c r="C430">
        <v>37</v>
      </c>
      <c r="D430">
        <v>4</v>
      </c>
      <c r="E430">
        <v>4</v>
      </c>
      <c r="F430">
        <v>1</v>
      </c>
      <c r="G430" t="s">
        <v>89</v>
      </c>
      <c r="H430">
        <v>1.51</v>
      </c>
      <c r="I430" s="2">
        <v>0.85311000000000003</v>
      </c>
      <c r="J430" s="47">
        <v>4</v>
      </c>
      <c r="K430" t="s">
        <v>1</v>
      </c>
      <c r="L430">
        <v>3</v>
      </c>
      <c r="M430" t="s">
        <v>1</v>
      </c>
      <c r="N430" s="56">
        <v>2</v>
      </c>
      <c r="O430">
        <v>1</v>
      </c>
      <c r="P430">
        <v>1</v>
      </c>
      <c r="Q430">
        <v>0</v>
      </c>
      <c r="R430">
        <v>0</v>
      </c>
    </row>
    <row r="431" spans="1:18">
      <c r="A431">
        <v>430</v>
      </c>
      <c r="B431">
        <v>18</v>
      </c>
      <c r="C431">
        <v>39</v>
      </c>
      <c r="D431">
        <v>1</v>
      </c>
      <c r="E431">
        <v>4</v>
      </c>
      <c r="F431">
        <v>0</v>
      </c>
      <c r="G431" t="s">
        <v>91</v>
      </c>
      <c r="H431">
        <v>1.3</v>
      </c>
      <c r="I431" s="2">
        <v>0.69518999999999997</v>
      </c>
      <c r="J431" s="47">
        <v>2</v>
      </c>
      <c r="K431" t="s">
        <v>0</v>
      </c>
      <c r="L431">
        <v>2</v>
      </c>
      <c r="M431" t="s">
        <v>15</v>
      </c>
      <c r="N431" s="56">
        <v>0</v>
      </c>
      <c r="O431">
        <v>1</v>
      </c>
      <c r="P431">
        <v>0</v>
      </c>
      <c r="Q431">
        <v>0</v>
      </c>
      <c r="R431">
        <v>0</v>
      </c>
    </row>
    <row r="432" spans="1:18">
      <c r="A432">
        <v>431</v>
      </c>
      <c r="B432">
        <v>18</v>
      </c>
      <c r="C432">
        <v>41</v>
      </c>
      <c r="D432">
        <v>1</v>
      </c>
      <c r="E432">
        <v>4</v>
      </c>
      <c r="F432">
        <v>0</v>
      </c>
      <c r="G432" t="s">
        <v>91</v>
      </c>
      <c r="H432">
        <v>1.49</v>
      </c>
      <c r="I432" s="2">
        <v>0.81420999999999999</v>
      </c>
      <c r="J432" s="47">
        <v>3</v>
      </c>
      <c r="K432" t="s">
        <v>0</v>
      </c>
      <c r="L432">
        <v>2</v>
      </c>
      <c r="M432" t="s">
        <v>15</v>
      </c>
      <c r="N432" s="56">
        <v>0</v>
      </c>
      <c r="O432">
        <v>1</v>
      </c>
      <c r="P432">
        <v>0</v>
      </c>
      <c r="Q432">
        <v>0</v>
      </c>
      <c r="R432">
        <v>0</v>
      </c>
    </row>
    <row r="433" spans="1:18">
      <c r="A433">
        <v>432</v>
      </c>
      <c r="B433">
        <v>18</v>
      </c>
      <c r="C433">
        <v>42</v>
      </c>
      <c r="D433">
        <v>1</v>
      </c>
      <c r="E433">
        <v>1</v>
      </c>
      <c r="F433">
        <v>1</v>
      </c>
      <c r="G433" t="s">
        <v>92</v>
      </c>
      <c r="H433">
        <v>0.97</v>
      </c>
      <c r="I433" s="2">
        <v>0.51053000000000004</v>
      </c>
      <c r="J433" s="47">
        <v>3</v>
      </c>
      <c r="K433" t="s">
        <v>0</v>
      </c>
      <c r="L433">
        <v>2</v>
      </c>
      <c r="M433" t="s">
        <v>15</v>
      </c>
      <c r="N433" s="56">
        <v>0</v>
      </c>
      <c r="O433">
        <v>1</v>
      </c>
      <c r="P433">
        <v>0</v>
      </c>
      <c r="Q433">
        <v>0</v>
      </c>
      <c r="R433">
        <v>0</v>
      </c>
    </row>
    <row r="434" spans="1:18">
      <c r="A434">
        <v>433</v>
      </c>
      <c r="B434">
        <v>19</v>
      </c>
      <c r="C434">
        <v>1</v>
      </c>
      <c r="D434">
        <v>4</v>
      </c>
      <c r="E434">
        <v>4</v>
      </c>
      <c r="F434">
        <v>1</v>
      </c>
      <c r="G434" t="s">
        <v>89</v>
      </c>
      <c r="H434">
        <v>1.2</v>
      </c>
      <c r="I434" s="2">
        <v>0.8</v>
      </c>
      <c r="J434" s="47">
        <v>5</v>
      </c>
      <c r="K434" t="s">
        <v>62</v>
      </c>
      <c r="L434">
        <v>3</v>
      </c>
      <c r="M434" t="s">
        <v>33</v>
      </c>
      <c r="N434" s="56">
        <v>1</v>
      </c>
      <c r="O434">
        <v>1</v>
      </c>
      <c r="P434">
        <v>0</v>
      </c>
      <c r="Q434">
        <v>0</v>
      </c>
      <c r="R434">
        <v>1</v>
      </c>
    </row>
    <row r="435" spans="1:18">
      <c r="A435">
        <v>434</v>
      </c>
      <c r="B435">
        <v>19</v>
      </c>
      <c r="C435">
        <v>4</v>
      </c>
      <c r="D435">
        <v>4</v>
      </c>
      <c r="E435">
        <v>4</v>
      </c>
      <c r="F435">
        <v>1</v>
      </c>
      <c r="G435" t="s">
        <v>89</v>
      </c>
      <c r="H435">
        <v>1.5</v>
      </c>
      <c r="I435" s="2">
        <v>0.92025000000000001</v>
      </c>
      <c r="J435" s="47">
        <v>5</v>
      </c>
      <c r="K435" t="s">
        <v>5</v>
      </c>
      <c r="L435">
        <v>3</v>
      </c>
      <c r="M435" t="s">
        <v>13</v>
      </c>
      <c r="N435" s="56">
        <v>1</v>
      </c>
      <c r="O435">
        <v>1</v>
      </c>
      <c r="P435">
        <v>1</v>
      </c>
      <c r="Q435">
        <v>0</v>
      </c>
      <c r="R435">
        <v>0</v>
      </c>
    </row>
    <row r="436" spans="1:18">
      <c r="A436">
        <v>435</v>
      </c>
      <c r="B436">
        <v>19</v>
      </c>
      <c r="C436">
        <v>7</v>
      </c>
      <c r="D436">
        <v>4</v>
      </c>
      <c r="G436" t="s">
        <v>88</v>
      </c>
      <c r="I436" s="2"/>
      <c r="J436" s="47"/>
      <c r="N436" s="56"/>
    </row>
    <row r="437" spans="1:18">
      <c r="A437">
        <v>436</v>
      </c>
      <c r="B437">
        <v>19</v>
      </c>
      <c r="C437">
        <v>9</v>
      </c>
      <c r="D437">
        <v>4</v>
      </c>
      <c r="E437">
        <v>4</v>
      </c>
      <c r="F437">
        <v>1</v>
      </c>
      <c r="G437" t="s">
        <v>89</v>
      </c>
      <c r="H437">
        <v>1.45</v>
      </c>
      <c r="I437" s="2">
        <v>1.0139899999999999</v>
      </c>
      <c r="J437" s="47">
        <v>3</v>
      </c>
      <c r="K437" t="s">
        <v>67</v>
      </c>
      <c r="L437">
        <v>4</v>
      </c>
      <c r="M437" t="s">
        <v>84</v>
      </c>
      <c r="N437" s="56">
        <v>2</v>
      </c>
      <c r="O437">
        <v>1</v>
      </c>
      <c r="P437">
        <v>0</v>
      </c>
      <c r="Q437">
        <v>0</v>
      </c>
      <c r="R437">
        <v>1</v>
      </c>
    </row>
    <row r="438" spans="1:18">
      <c r="A438">
        <v>437</v>
      </c>
      <c r="B438">
        <v>19</v>
      </c>
      <c r="C438">
        <v>11</v>
      </c>
      <c r="D438">
        <v>4</v>
      </c>
      <c r="E438">
        <v>4</v>
      </c>
      <c r="F438">
        <v>1</v>
      </c>
      <c r="G438" t="s">
        <v>89</v>
      </c>
      <c r="H438">
        <v>1.91</v>
      </c>
      <c r="I438" s="2">
        <v>0.96953999999999996</v>
      </c>
      <c r="J438" s="47">
        <v>4</v>
      </c>
      <c r="K438" t="s">
        <v>62</v>
      </c>
      <c r="L438">
        <v>3</v>
      </c>
      <c r="M438" t="s">
        <v>33</v>
      </c>
      <c r="N438" s="56">
        <v>1</v>
      </c>
      <c r="O438">
        <v>1</v>
      </c>
      <c r="P438">
        <v>0</v>
      </c>
      <c r="Q438">
        <v>0</v>
      </c>
      <c r="R438">
        <v>1</v>
      </c>
    </row>
    <row r="439" spans="1:18">
      <c r="A439">
        <v>438</v>
      </c>
      <c r="B439">
        <v>19</v>
      </c>
      <c r="C439">
        <v>15</v>
      </c>
      <c r="D439">
        <v>4</v>
      </c>
      <c r="E439">
        <v>1</v>
      </c>
      <c r="F439">
        <v>0</v>
      </c>
      <c r="G439" t="s">
        <v>90</v>
      </c>
      <c r="H439">
        <v>1.73</v>
      </c>
      <c r="I439" s="2">
        <v>0.94535999999999998</v>
      </c>
      <c r="J439" s="47">
        <v>1</v>
      </c>
      <c r="K439" t="s">
        <v>33</v>
      </c>
      <c r="L439">
        <v>2</v>
      </c>
      <c r="M439" t="s">
        <v>33</v>
      </c>
      <c r="N439" s="56">
        <v>1</v>
      </c>
      <c r="O439">
        <v>1</v>
      </c>
      <c r="P439">
        <v>0</v>
      </c>
      <c r="Q439">
        <v>0</v>
      </c>
      <c r="R439">
        <v>1</v>
      </c>
    </row>
    <row r="440" spans="1:18">
      <c r="A440">
        <v>439</v>
      </c>
      <c r="B440">
        <v>19</v>
      </c>
      <c r="C440">
        <v>16</v>
      </c>
      <c r="D440">
        <v>4</v>
      </c>
      <c r="E440">
        <v>4</v>
      </c>
      <c r="F440">
        <v>1</v>
      </c>
      <c r="G440" t="s">
        <v>89</v>
      </c>
      <c r="H440">
        <v>1.2</v>
      </c>
      <c r="I440" s="2">
        <v>0.71855999999999998</v>
      </c>
      <c r="J440" s="47">
        <v>4</v>
      </c>
      <c r="K440" t="s">
        <v>34</v>
      </c>
      <c r="L440">
        <v>1</v>
      </c>
      <c r="M440" t="s">
        <v>34</v>
      </c>
      <c r="N440" s="56">
        <v>0</v>
      </c>
      <c r="O440">
        <v>0</v>
      </c>
      <c r="P440">
        <v>0</v>
      </c>
      <c r="Q440">
        <v>0</v>
      </c>
      <c r="R440">
        <v>1</v>
      </c>
    </row>
    <row r="441" spans="1:18">
      <c r="A441">
        <v>440</v>
      </c>
      <c r="B441">
        <v>19</v>
      </c>
      <c r="C441">
        <v>17</v>
      </c>
      <c r="D441">
        <v>1</v>
      </c>
      <c r="E441">
        <v>1</v>
      </c>
      <c r="F441">
        <v>1</v>
      </c>
      <c r="G441" t="s">
        <v>92</v>
      </c>
      <c r="H441">
        <v>2.1800000000000002</v>
      </c>
      <c r="I441" s="2">
        <v>1.0900000000000001</v>
      </c>
      <c r="J441" s="47">
        <v>4</v>
      </c>
      <c r="K441" t="s">
        <v>64</v>
      </c>
      <c r="L441">
        <v>4</v>
      </c>
      <c r="M441" t="s">
        <v>14</v>
      </c>
      <c r="N441" s="56">
        <v>2</v>
      </c>
      <c r="O441">
        <v>1</v>
      </c>
      <c r="P441">
        <v>1</v>
      </c>
      <c r="Q441">
        <v>0</v>
      </c>
      <c r="R441">
        <v>1</v>
      </c>
    </row>
    <row r="442" spans="1:18">
      <c r="A442">
        <v>441</v>
      </c>
      <c r="B442">
        <v>19</v>
      </c>
      <c r="C442">
        <v>18</v>
      </c>
      <c r="D442">
        <v>1</v>
      </c>
      <c r="G442" t="s">
        <v>88</v>
      </c>
      <c r="I442" s="2"/>
      <c r="J442" s="47"/>
      <c r="N442" s="56"/>
    </row>
    <row r="443" spans="1:18">
      <c r="A443">
        <v>442</v>
      </c>
      <c r="B443">
        <v>19</v>
      </c>
      <c r="C443">
        <v>19</v>
      </c>
      <c r="D443">
        <v>1</v>
      </c>
      <c r="G443" t="s">
        <v>88</v>
      </c>
      <c r="I443" s="2"/>
      <c r="J443" s="47"/>
      <c r="N443" s="56"/>
    </row>
    <row r="444" spans="1:18">
      <c r="A444">
        <v>443</v>
      </c>
      <c r="B444">
        <v>19</v>
      </c>
      <c r="C444">
        <v>23</v>
      </c>
      <c r="D444">
        <v>4</v>
      </c>
      <c r="E444">
        <v>4</v>
      </c>
      <c r="F444">
        <v>1</v>
      </c>
      <c r="G444" t="s">
        <v>89</v>
      </c>
      <c r="H444">
        <v>1.59</v>
      </c>
      <c r="I444" s="2">
        <v>0.93528999999999995</v>
      </c>
      <c r="J444" s="47">
        <v>5</v>
      </c>
      <c r="K444" t="s">
        <v>5</v>
      </c>
      <c r="L444">
        <v>3</v>
      </c>
      <c r="M444" t="s">
        <v>13</v>
      </c>
      <c r="N444" s="56">
        <v>1</v>
      </c>
      <c r="O444">
        <v>1</v>
      </c>
      <c r="P444">
        <v>1</v>
      </c>
      <c r="Q444">
        <v>0</v>
      </c>
      <c r="R444">
        <v>0</v>
      </c>
    </row>
    <row r="445" spans="1:18">
      <c r="A445">
        <v>444</v>
      </c>
      <c r="B445">
        <v>19</v>
      </c>
      <c r="C445">
        <v>24</v>
      </c>
      <c r="D445">
        <v>1</v>
      </c>
      <c r="E445">
        <v>1</v>
      </c>
      <c r="F445">
        <v>1</v>
      </c>
      <c r="G445" t="s">
        <v>92</v>
      </c>
      <c r="H445">
        <v>1.65</v>
      </c>
      <c r="I445" s="2">
        <v>0.83755999999999997</v>
      </c>
      <c r="J445" s="47">
        <v>5</v>
      </c>
      <c r="K445" t="s">
        <v>23</v>
      </c>
      <c r="L445">
        <v>3</v>
      </c>
      <c r="M445" t="s">
        <v>23</v>
      </c>
      <c r="N445" s="56">
        <v>2</v>
      </c>
      <c r="O445">
        <v>1</v>
      </c>
      <c r="P445">
        <v>1</v>
      </c>
      <c r="Q445">
        <v>0</v>
      </c>
      <c r="R445">
        <v>1</v>
      </c>
    </row>
    <row r="446" spans="1:18">
      <c r="A446">
        <v>445</v>
      </c>
      <c r="B446">
        <v>19</v>
      </c>
      <c r="C446">
        <v>26</v>
      </c>
      <c r="D446">
        <v>1</v>
      </c>
      <c r="E446">
        <v>1</v>
      </c>
      <c r="F446">
        <v>1</v>
      </c>
      <c r="G446" t="s">
        <v>92</v>
      </c>
      <c r="H446">
        <v>1.79</v>
      </c>
      <c r="I446" s="2">
        <v>0.92745999999999995</v>
      </c>
      <c r="J446" s="47">
        <v>5</v>
      </c>
      <c r="K446" t="s">
        <v>5</v>
      </c>
      <c r="L446">
        <v>3</v>
      </c>
      <c r="M446" t="s">
        <v>13</v>
      </c>
      <c r="N446" s="56">
        <v>1</v>
      </c>
      <c r="O446">
        <v>1</v>
      </c>
      <c r="P446">
        <v>1</v>
      </c>
      <c r="Q446">
        <v>0</v>
      </c>
      <c r="R446">
        <v>0</v>
      </c>
    </row>
    <row r="447" spans="1:18">
      <c r="A447">
        <v>446</v>
      </c>
      <c r="B447">
        <v>19</v>
      </c>
      <c r="C447">
        <v>27</v>
      </c>
      <c r="D447">
        <v>4</v>
      </c>
      <c r="E447">
        <v>4</v>
      </c>
      <c r="F447">
        <v>1</v>
      </c>
      <c r="G447" t="s">
        <v>89</v>
      </c>
      <c r="H447">
        <v>1.46</v>
      </c>
      <c r="I447" s="2">
        <v>1.02098</v>
      </c>
      <c r="J447" s="47">
        <v>4</v>
      </c>
      <c r="K447" t="s">
        <v>20</v>
      </c>
      <c r="L447">
        <v>4</v>
      </c>
      <c r="M447" t="s">
        <v>13</v>
      </c>
      <c r="N447" s="56">
        <v>1</v>
      </c>
      <c r="O447">
        <v>1</v>
      </c>
      <c r="P447">
        <v>1</v>
      </c>
      <c r="Q447">
        <v>0</v>
      </c>
      <c r="R447">
        <v>0</v>
      </c>
    </row>
    <row r="448" spans="1:18">
      <c r="A448">
        <v>447</v>
      </c>
      <c r="B448">
        <v>19</v>
      </c>
      <c r="C448">
        <v>28</v>
      </c>
      <c r="D448">
        <v>1</v>
      </c>
      <c r="E448">
        <v>4</v>
      </c>
      <c r="F448">
        <v>0</v>
      </c>
      <c r="G448" t="s">
        <v>91</v>
      </c>
      <c r="H448">
        <v>1.76</v>
      </c>
      <c r="I448" s="2">
        <v>0.94118000000000002</v>
      </c>
      <c r="J448" s="47">
        <v>4</v>
      </c>
      <c r="K448" t="s">
        <v>25</v>
      </c>
      <c r="L448">
        <v>3</v>
      </c>
      <c r="M448" t="s">
        <v>25</v>
      </c>
      <c r="N448" s="56">
        <v>2</v>
      </c>
      <c r="O448">
        <v>1</v>
      </c>
      <c r="P448">
        <v>1</v>
      </c>
      <c r="Q448">
        <v>0</v>
      </c>
      <c r="R448">
        <v>1</v>
      </c>
    </row>
    <row r="449" spans="1:18">
      <c r="A449">
        <v>448</v>
      </c>
      <c r="B449">
        <v>19</v>
      </c>
      <c r="C449">
        <v>29</v>
      </c>
      <c r="D449">
        <v>4</v>
      </c>
      <c r="E449">
        <v>4</v>
      </c>
      <c r="F449">
        <v>1</v>
      </c>
      <c r="G449" t="s">
        <v>89</v>
      </c>
      <c r="H449">
        <v>1.99</v>
      </c>
      <c r="I449" s="2">
        <v>1.1916199999999999</v>
      </c>
      <c r="J449" s="47">
        <v>3</v>
      </c>
      <c r="K449" t="s">
        <v>23</v>
      </c>
      <c r="L449">
        <v>3</v>
      </c>
      <c r="M449" t="s">
        <v>23</v>
      </c>
      <c r="N449" s="56">
        <v>2</v>
      </c>
      <c r="O449">
        <v>1</v>
      </c>
      <c r="P449">
        <v>1</v>
      </c>
      <c r="Q449">
        <v>0</v>
      </c>
      <c r="R449">
        <v>1</v>
      </c>
    </row>
    <row r="450" spans="1:18">
      <c r="A450">
        <v>449</v>
      </c>
      <c r="B450">
        <v>19</v>
      </c>
      <c r="C450">
        <v>30</v>
      </c>
      <c r="D450">
        <v>4</v>
      </c>
      <c r="E450">
        <v>4</v>
      </c>
      <c r="F450">
        <v>1</v>
      </c>
      <c r="G450" t="s">
        <v>89</v>
      </c>
      <c r="H450">
        <v>1.6</v>
      </c>
      <c r="I450" s="2">
        <v>0.94118000000000002</v>
      </c>
      <c r="J450" s="47">
        <v>4</v>
      </c>
      <c r="K450" t="s">
        <v>5</v>
      </c>
      <c r="L450">
        <v>3</v>
      </c>
      <c r="M450" t="s">
        <v>13</v>
      </c>
      <c r="N450" s="56">
        <v>1</v>
      </c>
      <c r="O450">
        <v>1</v>
      </c>
      <c r="P450">
        <v>1</v>
      </c>
      <c r="Q450">
        <v>0</v>
      </c>
      <c r="R450">
        <v>0</v>
      </c>
    </row>
    <row r="451" spans="1:18">
      <c r="A451">
        <v>450</v>
      </c>
      <c r="B451">
        <v>19</v>
      </c>
      <c r="C451">
        <v>34</v>
      </c>
      <c r="D451">
        <v>1</v>
      </c>
      <c r="E451">
        <v>4</v>
      </c>
      <c r="F451">
        <v>0</v>
      </c>
      <c r="G451" t="s">
        <v>91</v>
      </c>
      <c r="H451">
        <v>1.85</v>
      </c>
      <c r="I451" s="2">
        <v>0.89371999999999996</v>
      </c>
      <c r="J451" s="47">
        <v>1</v>
      </c>
      <c r="K451" t="s">
        <v>15</v>
      </c>
      <c r="L451">
        <v>1</v>
      </c>
      <c r="M451" t="s">
        <v>15</v>
      </c>
      <c r="N451" s="56">
        <v>0</v>
      </c>
      <c r="O451">
        <v>1</v>
      </c>
      <c r="P451">
        <v>0</v>
      </c>
      <c r="Q451">
        <v>0</v>
      </c>
      <c r="R451">
        <v>0</v>
      </c>
    </row>
    <row r="452" spans="1:18">
      <c r="A452">
        <v>451</v>
      </c>
      <c r="B452">
        <v>19</v>
      </c>
      <c r="C452">
        <v>35</v>
      </c>
      <c r="D452">
        <v>1</v>
      </c>
      <c r="E452">
        <v>1</v>
      </c>
      <c r="F452">
        <v>1</v>
      </c>
      <c r="G452" t="s">
        <v>92</v>
      </c>
      <c r="H452">
        <v>1.88</v>
      </c>
      <c r="I452" s="2">
        <v>1.00535</v>
      </c>
      <c r="J452" s="47">
        <v>3</v>
      </c>
      <c r="K452" t="s">
        <v>33</v>
      </c>
      <c r="L452">
        <v>2</v>
      </c>
      <c r="M452" t="s">
        <v>33</v>
      </c>
      <c r="N452" s="56">
        <v>1</v>
      </c>
      <c r="O452">
        <v>1</v>
      </c>
      <c r="P452">
        <v>0</v>
      </c>
      <c r="Q452">
        <v>0</v>
      </c>
      <c r="R452">
        <v>1</v>
      </c>
    </row>
    <row r="453" spans="1:18">
      <c r="A453">
        <v>452</v>
      </c>
      <c r="B453">
        <v>19</v>
      </c>
      <c r="C453">
        <v>36</v>
      </c>
      <c r="D453">
        <v>1</v>
      </c>
      <c r="E453">
        <v>1</v>
      </c>
      <c r="F453">
        <v>1</v>
      </c>
      <c r="G453" t="s">
        <v>92</v>
      </c>
      <c r="H453">
        <v>1.6</v>
      </c>
      <c r="I453" s="2">
        <v>0.85560999999999998</v>
      </c>
      <c r="J453" s="47">
        <v>5</v>
      </c>
      <c r="K453" t="s">
        <v>68</v>
      </c>
      <c r="L453">
        <v>3</v>
      </c>
      <c r="M453" t="s">
        <v>68</v>
      </c>
      <c r="N453" s="56">
        <v>2</v>
      </c>
      <c r="O453">
        <v>1</v>
      </c>
      <c r="P453">
        <v>1</v>
      </c>
      <c r="Q453">
        <v>0</v>
      </c>
      <c r="R453">
        <v>0</v>
      </c>
    </row>
    <row r="454" spans="1:18">
      <c r="A454">
        <v>453</v>
      </c>
      <c r="B454">
        <v>19</v>
      </c>
      <c r="C454">
        <v>37</v>
      </c>
      <c r="D454">
        <v>4</v>
      </c>
      <c r="E454">
        <v>1</v>
      </c>
      <c r="F454">
        <v>0</v>
      </c>
      <c r="G454" t="s">
        <v>90</v>
      </c>
      <c r="H454">
        <v>1.45</v>
      </c>
      <c r="I454" s="2">
        <v>0.81920999999999999</v>
      </c>
      <c r="J454" s="47">
        <v>1</v>
      </c>
      <c r="K454" t="s">
        <v>0</v>
      </c>
      <c r="L454">
        <v>2</v>
      </c>
      <c r="M454" t="s">
        <v>15</v>
      </c>
      <c r="N454" s="56">
        <v>0</v>
      </c>
      <c r="O454">
        <v>1</v>
      </c>
      <c r="P454">
        <v>0</v>
      </c>
      <c r="Q454">
        <v>0</v>
      </c>
      <c r="R454">
        <v>0</v>
      </c>
    </row>
    <row r="455" spans="1:18">
      <c r="A455">
        <v>454</v>
      </c>
      <c r="B455">
        <v>19</v>
      </c>
      <c r="C455">
        <v>39</v>
      </c>
      <c r="D455">
        <v>1</v>
      </c>
      <c r="E455">
        <v>1</v>
      </c>
      <c r="F455">
        <v>1</v>
      </c>
      <c r="G455" t="s">
        <v>92</v>
      </c>
      <c r="H455">
        <v>1.66</v>
      </c>
      <c r="I455" s="2">
        <v>0.88770000000000004</v>
      </c>
      <c r="J455" s="47">
        <v>3</v>
      </c>
      <c r="K455" t="s">
        <v>0</v>
      </c>
      <c r="L455">
        <v>2</v>
      </c>
      <c r="M455" t="s">
        <v>15</v>
      </c>
      <c r="N455" s="56">
        <v>0</v>
      </c>
      <c r="O455">
        <v>1</v>
      </c>
      <c r="P455">
        <v>0</v>
      </c>
      <c r="Q455">
        <v>0</v>
      </c>
      <c r="R455">
        <v>0</v>
      </c>
    </row>
    <row r="456" spans="1:18">
      <c r="A456">
        <v>455</v>
      </c>
      <c r="B456">
        <v>19</v>
      </c>
      <c r="C456">
        <v>41</v>
      </c>
      <c r="D456">
        <v>1</v>
      </c>
      <c r="E456">
        <v>4</v>
      </c>
      <c r="F456">
        <v>0</v>
      </c>
      <c r="G456" t="s">
        <v>91</v>
      </c>
      <c r="H456">
        <v>1.91</v>
      </c>
      <c r="I456" s="2">
        <v>1.04372</v>
      </c>
      <c r="J456" s="47">
        <v>2</v>
      </c>
      <c r="K456" t="s">
        <v>34</v>
      </c>
      <c r="L456">
        <v>1</v>
      </c>
      <c r="M456" t="s">
        <v>34</v>
      </c>
      <c r="N456" s="56">
        <v>0</v>
      </c>
      <c r="O456">
        <v>0</v>
      </c>
      <c r="P456">
        <v>0</v>
      </c>
      <c r="Q456">
        <v>0</v>
      </c>
      <c r="R456">
        <v>1</v>
      </c>
    </row>
    <row r="457" spans="1:18">
      <c r="A457">
        <v>456</v>
      </c>
      <c r="B457">
        <v>19</v>
      </c>
      <c r="C457">
        <v>42</v>
      </c>
      <c r="D457">
        <v>1</v>
      </c>
      <c r="E457">
        <v>1</v>
      </c>
      <c r="F457">
        <v>1</v>
      </c>
      <c r="G457" t="s">
        <v>92</v>
      </c>
      <c r="H457">
        <v>1.46</v>
      </c>
      <c r="I457" s="2">
        <v>0.76841999999999999</v>
      </c>
      <c r="J457" s="47">
        <v>5</v>
      </c>
      <c r="K457" t="s">
        <v>69</v>
      </c>
      <c r="L457">
        <v>3</v>
      </c>
      <c r="M457" t="s">
        <v>69</v>
      </c>
      <c r="N457" s="56">
        <v>2</v>
      </c>
      <c r="O457">
        <v>1</v>
      </c>
      <c r="P457">
        <v>1</v>
      </c>
      <c r="Q457">
        <v>0</v>
      </c>
      <c r="R457">
        <v>1</v>
      </c>
    </row>
    <row r="458" spans="1:18">
      <c r="A458">
        <v>457</v>
      </c>
      <c r="B458">
        <v>20</v>
      </c>
      <c r="C458">
        <v>1</v>
      </c>
      <c r="D458">
        <v>4</v>
      </c>
      <c r="E458">
        <v>4</v>
      </c>
      <c r="F458">
        <v>1</v>
      </c>
      <c r="G458" t="s">
        <v>89</v>
      </c>
      <c r="H458">
        <v>1.65</v>
      </c>
      <c r="I458" s="2">
        <v>1.1000000000000001</v>
      </c>
      <c r="J458" s="47">
        <v>5</v>
      </c>
      <c r="K458" t="s">
        <v>70</v>
      </c>
      <c r="L458">
        <v>4</v>
      </c>
      <c r="M458" t="s">
        <v>70</v>
      </c>
      <c r="N458" s="56">
        <v>3</v>
      </c>
      <c r="O458">
        <v>1</v>
      </c>
      <c r="P458">
        <v>1</v>
      </c>
      <c r="Q458">
        <v>1</v>
      </c>
      <c r="R458">
        <v>0</v>
      </c>
    </row>
    <row r="459" spans="1:18">
      <c r="A459">
        <v>458</v>
      </c>
      <c r="B459">
        <v>20</v>
      </c>
      <c r="C459">
        <v>4</v>
      </c>
      <c r="D459">
        <v>4</v>
      </c>
      <c r="G459" t="s">
        <v>88</v>
      </c>
      <c r="I459" s="2"/>
      <c r="J459" s="47"/>
      <c r="N459" s="56"/>
    </row>
    <row r="460" spans="1:18">
      <c r="A460">
        <v>459</v>
      </c>
      <c r="B460">
        <v>20</v>
      </c>
      <c r="C460">
        <v>7</v>
      </c>
      <c r="D460">
        <v>4</v>
      </c>
      <c r="E460">
        <v>4</v>
      </c>
      <c r="F460">
        <v>1</v>
      </c>
      <c r="G460" t="s">
        <v>89</v>
      </c>
      <c r="H460">
        <v>1.78</v>
      </c>
      <c r="I460" s="2">
        <v>1.1337600000000001</v>
      </c>
      <c r="J460" s="47">
        <v>4</v>
      </c>
      <c r="K460" t="s">
        <v>13</v>
      </c>
      <c r="L460">
        <v>2</v>
      </c>
      <c r="M460" t="s">
        <v>13</v>
      </c>
      <c r="N460" s="56">
        <v>1</v>
      </c>
      <c r="O460">
        <v>1</v>
      </c>
      <c r="P460">
        <v>1</v>
      </c>
      <c r="Q460">
        <v>0</v>
      </c>
      <c r="R460">
        <v>0</v>
      </c>
    </row>
    <row r="461" spans="1:18">
      <c r="A461">
        <v>460</v>
      </c>
      <c r="B461">
        <v>20</v>
      </c>
      <c r="C461">
        <v>9</v>
      </c>
      <c r="D461">
        <v>4</v>
      </c>
      <c r="E461">
        <v>4</v>
      </c>
      <c r="F461">
        <v>1</v>
      </c>
      <c r="G461" t="s">
        <v>89</v>
      </c>
      <c r="H461">
        <v>1.64</v>
      </c>
      <c r="I461" s="2">
        <v>1.1468499999999999</v>
      </c>
      <c r="J461" s="47">
        <v>3</v>
      </c>
      <c r="K461" t="s">
        <v>0</v>
      </c>
      <c r="L461">
        <v>2</v>
      </c>
      <c r="M461" t="s">
        <v>15</v>
      </c>
      <c r="N461" s="56">
        <v>0</v>
      </c>
      <c r="O461">
        <v>1</v>
      </c>
      <c r="P461">
        <v>0</v>
      </c>
      <c r="Q461">
        <v>0</v>
      </c>
      <c r="R461">
        <v>0</v>
      </c>
    </row>
    <row r="462" spans="1:18">
      <c r="A462">
        <v>461</v>
      </c>
      <c r="B462">
        <v>20</v>
      </c>
      <c r="C462">
        <v>11</v>
      </c>
      <c r="D462">
        <v>4</v>
      </c>
      <c r="E462">
        <v>4</v>
      </c>
      <c r="F462">
        <v>1</v>
      </c>
      <c r="G462" t="s">
        <v>89</v>
      </c>
      <c r="H462">
        <v>2.1800000000000002</v>
      </c>
      <c r="I462" s="2">
        <v>1.1066</v>
      </c>
      <c r="J462" s="47">
        <v>4</v>
      </c>
      <c r="K462" t="s">
        <v>46</v>
      </c>
      <c r="L462">
        <v>3</v>
      </c>
      <c r="M462" t="s">
        <v>46</v>
      </c>
      <c r="N462" s="56">
        <v>2</v>
      </c>
      <c r="O462">
        <v>1</v>
      </c>
      <c r="P462">
        <v>1</v>
      </c>
      <c r="Q462">
        <v>1</v>
      </c>
      <c r="R462">
        <v>0</v>
      </c>
    </row>
    <row r="463" spans="1:18">
      <c r="A463">
        <v>462</v>
      </c>
      <c r="B463">
        <v>20</v>
      </c>
      <c r="C463">
        <v>15</v>
      </c>
      <c r="D463">
        <v>4</v>
      </c>
      <c r="E463">
        <v>4</v>
      </c>
      <c r="F463">
        <v>1</v>
      </c>
      <c r="G463" t="s">
        <v>89</v>
      </c>
      <c r="H463">
        <v>2.0099999999999998</v>
      </c>
      <c r="I463" s="2">
        <v>1.09836</v>
      </c>
      <c r="J463" s="47">
        <v>4</v>
      </c>
      <c r="K463" t="s">
        <v>71</v>
      </c>
      <c r="L463">
        <v>6</v>
      </c>
      <c r="M463" t="s">
        <v>86</v>
      </c>
      <c r="N463" s="56">
        <v>3</v>
      </c>
      <c r="O463">
        <v>1</v>
      </c>
      <c r="P463">
        <v>1</v>
      </c>
      <c r="Q463">
        <v>1</v>
      </c>
      <c r="R463">
        <v>1</v>
      </c>
    </row>
    <row r="464" spans="1:18">
      <c r="A464">
        <v>463</v>
      </c>
      <c r="B464">
        <v>20</v>
      </c>
      <c r="C464">
        <v>16</v>
      </c>
      <c r="D464">
        <v>4</v>
      </c>
      <c r="E464">
        <v>4</v>
      </c>
      <c r="F464">
        <v>1</v>
      </c>
      <c r="G464" t="s">
        <v>89</v>
      </c>
      <c r="H464">
        <v>1.84</v>
      </c>
      <c r="I464" s="2">
        <v>1.1017999999999999</v>
      </c>
      <c r="J464" s="47">
        <v>5</v>
      </c>
      <c r="K464" t="s">
        <v>46</v>
      </c>
      <c r="L464">
        <v>3</v>
      </c>
      <c r="M464" t="s">
        <v>46</v>
      </c>
      <c r="N464" s="56">
        <v>2</v>
      </c>
      <c r="O464">
        <v>1</v>
      </c>
      <c r="P464">
        <v>1</v>
      </c>
      <c r="Q464">
        <v>1</v>
      </c>
      <c r="R464">
        <v>0</v>
      </c>
    </row>
    <row r="465" spans="1:18">
      <c r="A465">
        <v>464</v>
      </c>
      <c r="B465">
        <v>20</v>
      </c>
      <c r="C465">
        <v>17</v>
      </c>
      <c r="D465">
        <v>1</v>
      </c>
      <c r="E465">
        <v>1</v>
      </c>
      <c r="F465">
        <v>1</v>
      </c>
      <c r="G465" t="s">
        <v>92</v>
      </c>
      <c r="H465">
        <v>2.2599999999999998</v>
      </c>
      <c r="I465" s="2">
        <v>1.1299999999999999</v>
      </c>
      <c r="J465" s="47">
        <v>3</v>
      </c>
      <c r="K465" t="s">
        <v>22</v>
      </c>
      <c r="L465">
        <v>4</v>
      </c>
      <c r="M465" t="s">
        <v>46</v>
      </c>
      <c r="N465" s="56">
        <v>2</v>
      </c>
      <c r="O465">
        <v>1</v>
      </c>
      <c r="P465">
        <v>1</v>
      </c>
      <c r="Q465">
        <v>1</v>
      </c>
      <c r="R465">
        <v>0</v>
      </c>
    </row>
    <row r="466" spans="1:18">
      <c r="A466">
        <v>465</v>
      </c>
      <c r="B466">
        <v>20</v>
      </c>
      <c r="C466">
        <v>18</v>
      </c>
      <c r="D466">
        <v>1</v>
      </c>
      <c r="G466" t="s">
        <v>88</v>
      </c>
      <c r="I466" s="2"/>
      <c r="J466" s="47"/>
      <c r="N466" s="56"/>
    </row>
    <row r="467" spans="1:18">
      <c r="A467">
        <v>466</v>
      </c>
      <c r="B467">
        <v>20</v>
      </c>
      <c r="C467">
        <v>19</v>
      </c>
      <c r="D467">
        <v>1</v>
      </c>
      <c r="E467">
        <v>1</v>
      </c>
      <c r="F467">
        <v>1</v>
      </c>
      <c r="G467" t="s">
        <v>92</v>
      </c>
      <c r="H467">
        <v>1.83</v>
      </c>
      <c r="I467" s="2">
        <v>0.97860999999999998</v>
      </c>
      <c r="J467" s="47">
        <v>5</v>
      </c>
      <c r="K467" t="s">
        <v>72</v>
      </c>
      <c r="L467">
        <v>3</v>
      </c>
      <c r="M467" t="s">
        <v>38</v>
      </c>
      <c r="N467" s="56">
        <v>1</v>
      </c>
      <c r="O467">
        <v>1</v>
      </c>
      <c r="P467">
        <v>0</v>
      </c>
      <c r="Q467">
        <v>1</v>
      </c>
      <c r="R467">
        <v>0</v>
      </c>
    </row>
    <row r="468" spans="1:18">
      <c r="A468">
        <v>467</v>
      </c>
      <c r="B468">
        <v>20</v>
      </c>
      <c r="C468">
        <v>23</v>
      </c>
      <c r="D468">
        <v>4</v>
      </c>
      <c r="E468">
        <v>4</v>
      </c>
      <c r="F468">
        <v>1</v>
      </c>
      <c r="G468" t="s">
        <v>89</v>
      </c>
      <c r="H468">
        <v>1.58</v>
      </c>
      <c r="I468" s="2">
        <v>0.92940999999999996</v>
      </c>
      <c r="J468" s="47">
        <v>4</v>
      </c>
      <c r="K468" t="s">
        <v>13</v>
      </c>
      <c r="L468">
        <v>2</v>
      </c>
      <c r="M468" t="s">
        <v>13</v>
      </c>
      <c r="N468" s="56">
        <v>1</v>
      </c>
      <c r="O468">
        <v>1</v>
      </c>
      <c r="P468">
        <v>1</v>
      </c>
      <c r="Q468">
        <v>0</v>
      </c>
      <c r="R468">
        <v>0</v>
      </c>
    </row>
    <row r="469" spans="1:18">
      <c r="A469">
        <v>468</v>
      </c>
      <c r="B469">
        <v>20</v>
      </c>
      <c r="C469">
        <v>24</v>
      </c>
      <c r="D469">
        <v>1</v>
      </c>
      <c r="G469" t="s">
        <v>88</v>
      </c>
      <c r="I469" s="2"/>
      <c r="J469" s="47"/>
      <c r="N469" s="56"/>
    </row>
    <row r="470" spans="1:18">
      <c r="A470">
        <v>469</v>
      </c>
      <c r="B470">
        <v>20</v>
      </c>
      <c r="C470">
        <v>26</v>
      </c>
      <c r="D470">
        <v>1</v>
      </c>
      <c r="E470">
        <v>1</v>
      </c>
      <c r="F470">
        <v>1</v>
      </c>
      <c r="G470" t="s">
        <v>92</v>
      </c>
      <c r="H470">
        <v>2.12</v>
      </c>
      <c r="I470" s="2">
        <v>1.0984499999999999</v>
      </c>
      <c r="J470" s="47">
        <v>5</v>
      </c>
      <c r="K470" t="s">
        <v>36</v>
      </c>
      <c r="L470">
        <v>3</v>
      </c>
      <c r="M470" t="s">
        <v>36</v>
      </c>
      <c r="N470" s="56">
        <v>2</v>
      </c>
      <c r="O470">
        <v>1</v>
      </c>
      <c r="P470">
        <v>1</v>
      </c>
      <c r="Q470">
        <v>1</v>
      </c>
      <c r="R470">
        <v>0</v>
      </c>
    </row>
    <row r="471" spans="1:18">
      <c r="A471">
        <v>470</v>
      </c>
      <c r="B471">
        <v>20</v>
      </c>
      <c r="C471">
        <v>27</v>
      </c>
      <c r="D471">
        <v>4</v>
      </c>
      <c r="G471" t="s">
        <v>88</v>
      </c>
      <c r="I471" s="2"/>
      <c r="J471" s="47"/>
      <c r="N471" s="56"/>
    </row>
    <row r="472" spans="1:18">
      <c r="A472">
        <v>471</v>
      </c>
      <c r="B472">
        <v>20</v>
      </c>
      <c r="C472">
        <v>28</v>
      </c>
      <c r="D472">
        <v>1</v>
      </c>
      <c r="E472">
        <v>4</v>
      </c>
      <c r="F472">
        <v>0</v>
      </c>
      <c r="G472" t="s">
        <v>91</v>
      </c>
      <c r="H472">
        <v>1.91</v>
      </c>
      <c r="I472" s="2">
        <v>1.02139</v>
      </c>
      <c r="J472" s="47">
        <v>4</v>
      </c>
      <c r="K472" t="s">
        <v>42</v>
      </c>
      <c r="L472">
        <v>3</v>
      </c>
      <c r="M472" t="s">
        <v>13</v>
      </c>
      <c r="N472" s="56">
        <v>1</v>
      </c>
      <c r="O472">
        <v>1</v>
      </c>
      <c r="P472">
        <v>1</v>
      </c>
      <c r="Q472">
        <v>0</v>
      </c>
      <c r="R472">
        <v>0</v>
      </c>
    </row>
    <row r="473" spans="1:18">
      <c r="A473">
        <v>472</v>
      </c>
      <c r="B473">
        <v>20</v>
      </c>
      <c r="C473">
        <v>29</v>
      </c>
      <c r="D473">
        <v>4</v>
      </c>
      <c r="E473">
        <v>1</v>
      </c>
      <c r="F473">
        <v>0</v>
      </c>
      <c r="G473" t="s">
        <v>90</v>
      </c>
      <c r="H473">
        <v>1.44</v>
      </c>
      <c r="I473" s="2">
        <v>0.86228000000000005</v>
      </c>
      <c r="J473" s="47">
        <v>5</v>
      </c>
      <c r="K473" t="s">
        <v>15</v>
      </c>
      <c r="L473">
        <v>1</v>
      </c>
      <c r="M473" t="s">
        <v>15</v>
      </c>
      <c r="N473" s="56">
        <v>0</v>
      </c>
      <c r="O473">
        <v>1</v>
      </c>
      <c r="P473">
        <v>0</v>
      </c>
      <c r="Q473">
        <v>0</v>
      </c>
      <c r="R473">
        <v>0</v>
      </c>
    </row>
    <row r="474" spans="1:18">
      <c r="A474">
        <v>473</v>
      </c>
      <c r="B474">
        <v>20</v>
      </c>
      <c r="C474">
        <v>30</v>
      </c>
      <c r="D474">
        <v>4</v>
      </c>
      <c r="E474">
        <v>1</v>
      </c>
      <c r="F474">
        <v>0</v>
      </c>
      <c r="G474" t="s">
        <v>90</v>
      </c>
      <c r="H474">
        <v>1.77</v>
      </c>
      <c r="I474" s="2">
        <v>1.04118</v>
      </c>
      <c r="J474" s="47">
        <v>2</v>
      </c>
      <c r="K474" t="s">
        <v>7</v>
      </c>
      <c r="L474">
        <v>2</v>
      </c>
      <c r="M474" t="s">
        <v>8</v>
      </c>
      <c r="N474" s="56">
        <v>0</v>
      </c>
      <c r="O474">
        <v>0</v>
      </c>
      <c r="P474">
        <v>1</v>
      </c>
      <c r="Q474">
        <v>0</v>
      </c>
      <c r="R474">
        <v>0</v>
      </c>
    </row>
    <row r="475" spans="1:18">
      <c r="A475">
        <v>474</v>
      </c>
      <c r="B475">
        <v>20</v>
      </c>
      <c r="C475">
        <v>34</v>
      </c>
      <c r="D475">
        <v>1</v>
      </c>
      <c r="E475">
        <v>1</v>
      </c>
      <c r="F475">
        <v>1</v>
      </c>
      <c r="G475" t="s">
        <v>92</v>
      </c>
      <c r="H475">
        <v>2</v>
      </c>
      <c r="I475" s="2">
        <v>0.96618000000000004</v>
      </c>
      <c r="J475" s="47">
        <v>5</v>
      </c>
      <c r="K475" t="s">
        <v>26</v>
      </c>
      <c r="L475">
        <v>3</v>
      </c>
      <c r="M475" t="s">
        <v>38</v>
      </c>
      <c r="N475" s="56">
        <v>1</v>
      </c>
      <c r="O475">
        <v>1</v>
      </c>
      <c r="P475">
        <v>0</v>
      </c>
      <c r="Q475">
        <v>1</v>
      </c>
      <c r="R475">
        <v>0</v>
      </c>
    </row>
    <row r="476" spans="1:18">
      <c r="A476">
        <v>475</v>
      </c>
      <c r="B476">
        <v>20</v>
      </c>
      <c r="C476">
        <v>35</v>
      </c>
      <c r="D476">
        <v>1</v>
      </c>
      <c r="E476">
        <v>1</v>
      </c>
      <c r="F476">
        <v>1</v>
      </c>
      <c r="G476" t="s">
        <v>92</v>
      </c>
      <c r="H476">
        <v>1.99</v>
      </c>
      <c r="I476" s="2">
        <v>1.0641700000000001</v>
      </c>
      <c r="J476" s="47">
        <v>4</v>
      </c>
      <c r="K476" t="s">
        <v>0</v>
      </c>
      <c r="L476">
        <v>2</v>
      </c>
      <c r="M476" t="s">
        <v>15</v>
      </c>
      <c r="N476" s="56">
        <v>0</v>
      </c>
      <c r="O476">
        <v>1</v>
      </c>
      <c r="P476">
        <v>0</v>
      </c>
      <c r="Q476">
        <v>0</v>
      </c>
      <c r="R476">
        <v>0</v>
      </c>
    </row>
    <row r="477" spans="1:18">
      <c r="A477">
        <v>476</v>
      </c>
      <c r="B477">
        <v>20</v>
      </c>
      <c r="C477">
        <v>36</v>
      </c>
      <c r="D477">
        <v>1</v>
      </c>
      <c r="E477">
        <v>1</v>
      </c>
      <c r="F477">
        <v>1</v>
      </c>
      <c r="G477" t="s">
        <v>92</v>
      </c>
      <c r="H477">
        <v>1.69</v>
      </c>
      <c r="I477" s="2">
        <v>0.90373999999999999</v>
      </c>
      <c r="J477" s="47">
        <v>3</v>
      </c>
      <c r="K477" t="s">
        <v>35</v>
      </c>
      <c r="L477">
        <v>4</v>
      </c>
      <c r="M477" t="s">
        <v>36</v>
      </c>
      <c r="N477" s="56">
        <v>2</v>
      </c>
      <c r="O477">
        <v>1</v>
      </c>
      <c r="P477">
        <v>1</v>
      </c>
      <c r="Q477">
        <v>1</v>
      </c>
      <c r="R477">
        <v>0</v>
      </c>
    </row>
    <row r="478" spans="1:18">
      <c r="A478">
        <v>477</v>
      </c>
      <c r="B478">
        <v>20</v>
      </c>
      <c r="C478">
        <v>37</v>
      </c>
      <c r="D478">
        <v>4</v>
      </c>
      <c r="G478" t="s">
        <v>88</v>
      </c>
      <c r="I478" s="2"/>
      <c r="J478" s="47"/>
      <c r="N478" s="56"/>
    </row>
    <row r="479" spans="1:18">
      <c r="A479">
        <v>478</v>
      </c>
      <c r="B479">
        <v>20</v>
      </c>
      <c r="C479">
        <v>39</v>
      </c>
      <c r="D479">
        <v>1</v>
      </c>
      <c r="E479">
        <v>1</v>
      </c>
      <c r="F479">
        <v>1</v>
      </c>
      <c r="G479" t="s">
        <v>92</v>
      </c>
      <c r="H479">
        <v>1.83</v>
      </c>
      <c r="I479" s="2">
        <v>0.97860999999999998</v>
      </c>
      <c r="J479" s="47">
        <v>4</v>
      </c>
      <c r="K479" t="s">
        <v>15</v>
      </c>
      <c r="L479">
        <v>1</v>
      </c>
      <c r="M479" t="s">
        <v>15</v>
      </c>
      <c r="N479" s="56">
        <v>0</v>
      </c>
      <c r="O479">
        <v>1</v>
      </c>
      <c r="P479">
        <v>0</v>
      </c>
      <c r="Q479">
        <v>0</v>
      </c>
      <c r="R479">
        <v>0</v>
      </c>
    </row>
    <row r="480" spans="1:18">
      <c r="A480">
        <v>479</v>
      </c>
      <c r="B480">
        <v>20</v>
      </c>
      <c r="C480">
        <v>41</v>
      </c>
      <c r="D480">
        <v>1</v>
      </c>
      <c r="G480" t="s">
        <v>88</v>
      </c>
      <c r="I480" s="2"/>
      <c r="J480" s="47"/>
      <c r="N480" s="56"/>
    </row>
    <row r="481" spans="1:18">
      <c r="A481">
        <v>480</v>
      </c>
      <c r="B481">
        <v>20</v>
      </c>
      <c r="C481">
        <v>42</v>
      </c>
      <c r="D481">
        <v>1</v>
      </c>
      <c r="E481">
        <v>1</v>
      </c>
      <c r="F481">
        <v>1</v>
      </c>
      <c r="G481" t="s">
        <v>92</v>
      </c>
      <c r="H481">
        <v>1.97</v>
      </c>
      <c r="I481" s="2">
        <v>1.03684</v>
      </c>
      <c r="J481" s="47">
        <v>4</v>
      </c>
      <c r="K481" t="s">
        <v>24</v>
      </c>
      <c r="L481">
        <v>3</v>
      </c>
      <c r="M481" t="s">
        <v>31</v>
      </c>
      <c r="N481" s="56">
        <v>1</v>
      </c>
      <c r="O481">
        <v>1</v>
      </c>
      <c r="P481">
        <v>0</v>
      </c>
      <c r="Q481">
        <v>0</v>
      </c>
      <c r="R481">
        <v>1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014C-61F9-4394-A654-FB87A2F60D6F}">
  <dimension ref="A1:AB27"/>
  <sheetViews>
    <sheetView workbookViewId="0">
      <selection activeCell="Z1" sqref="Z1"/>
    </sheetView>
  </sheetViews>
  <sheetFormatPr defaultRowHeight="18.75"/>
  <cols>
    <col min="1" max="2" width="5.875" customWidth="1"/>
    <col min="3" max="4" width="10" customWidth="1"/>
    <col min="5" max="8" width="9.5" customWidth="1"/>
    <col min="9" max="17" width="8.125" customWidth="1"/>
    <col min="18" max="20" width="8" customWidth="1"/>
    <col min="24" max="24" width="19.25" customWidth="1"/>
    <col min="25" max="25" width="22.125" customWidth="1"/>
    <col min="26" max="28" width="16.125" customWidth="1"/>
  </cols>
  <sheetData>
    <row r="1" spans="1:28">
      <c r="A1" s="17" t="s">
        <v>73</v>
      </c>
      <c r="B1" s="17" t="s">
        <v>122</v>
      </c>
      <c r="C1" s="17" t="s">
        <v>123</v>
      </c>
      <c r="D1" s="17" t="s">
        <v>134</v>
      </c>
      <c r="E1" s="18" t="s">
        <v>119</v>
      </c>
      <c r="F1" s="18" t="s">
        <v>118</v>
      </c>
      <c r="G1" s="18" t="s">
        <v>117</v>
      </c>
      <c r="H1" s="19" t="s">
        <v>116</v>
      </c>
      <c r="I1" s="20" t="s">
        <v>115</v>
      </c>
      <c r="J1" s="20" t="s">
        <v>114</v>
      </c>
      <c r="K1" s="20" t="s">
        <v>113</v>
      </c>
      <c r="L1" s="20" t="s">
        <v>112</v>
      </c>
      <c r="M1" s="20" t="s">
        <v>111</v>
      </c>
      <c r="N1" s="20" t="s">
        <v>110</v>
      </c>
      <c r="O1" s="21" t="s">
        <v>109</v>
      </c>
      <c r="P1" s="21" t="s">
        <v>108</v>
      </c>
      <c r="Q1" s="19" t="s">
        <v>107</v>
      </c>
      <c r="R1" s="20" t="s">
        <v>125</v>
      </c>
      <c r="S1" s="20" t="s">
        <v>126</v>
      </c>
      <c r="T1" s="20" t="s">
        <v>127</v>
      </c>
      <c r="U1" s="19" t="s">
        <v>128</v>
      </c>
      <c r="V1" s="19" t="s">
        <v>129</v>
      </c>
      <c r="W1" s="19" t="s">
        <v>130</v>
      </c>
      <c r="X1" s="57" t="s">
        <v>106</v>
      </c>
      <c r="Y1" s="20" t="s">
        <v>82</v>
      </c>
      <c r="Z1" s="19" t="s">
        <v>131</v>
      </c>
      <c r="AA1" s="19" t="s">
        <v>132</v>
      </c>
      <c r="AB1" s="19" t="s">
        <v>133</v>
      </c>
    </row>
    <row r="2" spans="1:28">
      <c r="A2" s="22">
        <v>1</v>
      </c>
      <c r="B2" s="48">
        <v>22</v>
      </c>
      <c r="C2" s="48">
        <v>12</v>
      </c>
      <c r="D2" s="48" t="s">
        <v>135</v>
      </c>
      <c r="E2" s="23">
        <f t="shared" ref="E2:E21" si="0">I2+L2</f>
        <v>17</v>
      </c>
      <c r="F2" s="23">
        <f t="shared" ref="F2:F21" si="1">J2+K2</f>
        <v>7</v>
      </c>
      <c r="G2" s="23">
        <v>0</v>
      </c>
      <c r="H2" s="12">
        <f t="shared" ref="H2:H21" si="2">E2/24</f>
        <v>0.70833333333333337</v>
      </c>
      <c r="I2" s="24">
        <v>10</v>
      </c>
      <c r="J2" s="24">
        <v>2</v>
      </c>
      <c r="K2" s="24">
        <v>5</v>
      </c>
      <c r="L2" s="24">
        <v>7</v>
      </c>
      <c r="M2" s="25">
        <f t="shared" ref="M2:M21" si="3">IF(J2&gt;0, I2/(I2+J2), (I2-0.5)/(I2+J2))</f>
        <v>0.83333333333333337</v>
      </c>
      <c r="N2" s="25">
        <f t="shared" ref="N2:N21" si="4">IF(K2&gt;0,K2/(K2+L2), 0.5/(K2+L2))</f>
        <v>0.41666666666666669</v>
      </c>
      <c r="O2" s="26">
        <f t="shared" ref="O2:O21" si="5">NORMSINV(M2)-NORMSINV(N2)</f>
        <v>1.1778499603496253</v>
      </c>
      <c r="P2" s="27">
        <f t="shared" ref="P2:P21" si="6">-0.5*(NORMSINV(M2)+NORMSINV(N2))</f>
        <v>-0.37849658592688801</v>
      </c>
      <c r="Q2" s="26">
        <f t="shared" ref="Q2:Q21" si="7">EXP(O2*P2)</f>
        <v>0.64030401708251361</v>
      </c>
      <c r="R2" s="28">
        <v>1.31</v>
      </c>
      <c r="S2" s="28">
        <v>1.29</v>
      </c>
      <c r="T2" s="28">
        <v>1.38</v>
      </c>
      <c r="U2" s="29">
        <v>3.92</v>
      </c>
      <c r="V2" s="29">
        <v>4.41</v>
      </c>
      <c r="W2" s="29">
        <v>2.71</v>
      </c>
      <c r="X2" s="30">
        <v>2.42</v>
      </c>
      <c r="Y2" s="58">
        <v>0.58000000000000007</v>
      </c>
      <c r="Z2">
        <v>0.34</v>
      </c>
      <c r="AA2">
        <v>0.61499999999999999</v>
      </c>
      <c r="AB2" s="31">
        <v>4.4999999999999998E-2</v>
      </c>
    </row>
    <row r="3" spans="1:28">
      <c r="A3" s="22">
        <v>2</v>
      </c>
      <c r="B3" s="48">
        <v>21</v>
      </c>
      <c r="C3" s="48">
        <v>14</v>
      </c>
      <c r="D3" s="48" t="s">
        <v>135</v>
      </c>
      <c r="E3" s="23">
        <f t="shared" si="0"/>
        <v>16</v>
      </c>
      <c r="F3" s="23">
        <f t="shared" si="1"/>
        <v>8</v>
      </c>
      <c r="G3" s="23">
        <v>0</v>
      </c>
      <c r="H3" s="12">
        <f t="shared" si="2"/>
        <v>0.66666666666666663</v>
      </c>
      <c r="I3" s="24">
        <v>9</v>
      </c>
      <c r="J3" s="24">
        <v>3</v>
      </c>
      <c r="K3" s="24">
        <v>5</v>
      </c>
      <c r="L3" s="24">
        <v>7</v>
      </c>
      <c r="M3" s="25">
        <f t="shared" si="3"/>
        <v>0.75</v>
      </c>
      <c r="N3" s="25">
        <f t="shared" si="4"/>
        <v>0.41666666666666669</v>
      </c>
      <c r="O3" s="26">
        <f t="shared" si="5"/>
        <v>0.88491814444400663</v>
      </c>
      <c r="P3" s="27">
        <f t="shared" si="6"/>
        <v>-0.23203067797407861</v>
      </c>
      <c r="Q3" s="26">
        <f t="shared" si="7"/>
        <v>0.81438002804505039</v>
      </c>
      <c r="R3" s="28">
        <v>1.55</v>
      </c>
      <c r="S3" s="28">
        <v>1.57</v>
      </c>
      <c r="T3" s="28">
        <v>1.5</v>
      </c>
      <c r="U3" s="29">
        <v>2.96</v>
      </c>
      <c r="V3" s="29">
        <v>3.44</v>
      </c>
      <c r="W3" s="29">
        <v>2</v>
      </c>
      <c r="X3" s="30">
        <v>2.13</v>
      </c>
      <c r="Y3" s="58">
        <v>0.83000000000000007</v>
      </c>
      <c r="Z3">
        <v>0.253</v>
      </c>
      <c r="AA3">
        <v>0.72199999999999998</v>
      </c>
      <c r="AB3" s="31">
        <v>2.5999999999999999E-2</v>
      </c>
    </row>
    <row r="4" spans="1:28">
      <c r="A4" s="22">
        <v>3</v>
      </c>
      <c r="B4" s="48">
        <v>22</v>
      </c>
      <c r="C4" s="48">
        <v>13</v>
      </c>
      <c r="D4" s="48" t="s">
        <v>136</v>
      </c>
      <c r="E4" s="32">
        <f t="shared" si="0"/>
        <v>16</v>
      </c>
      <c r="F4" s="32">
        <f t="shared" si="1"/>
        <v>8</v>
      </c>
      <c r="G4" s="32">
        <v>0</v>
      </c>
      <c r="H4" s="33">
        <f t="shared" si="2"/>
        <v>0.66666666666666663</v>
      </c>
      <c r="I4" s="34">
        <v>6</v>
      </c>
      <c r="J4" s="34">
        <v>6</v>
      </c>
      <c r="K4" s="34">
        <v>2</v>
      </c>
      <c r="L4" s="34">
        <v>10</v>
      </c>
      <c r="M4" s="35">
        <f t="shared" si="3"/>
        <v>0.5</v>
      </c>
      <c r="N4" s="35">
        <f t="shared" si="4"/>
        <v>0.16666666666666666</v>
      </c>
      <c r="O4" s="36">
        <f t="shared" si="5"/>
        <v>0.96742156610170071</v>
      </c>
      <c r="P4" s="37">
        <f t="shared" si="6"/>
        <v>0.48371078305085036</v>
      </c>
      <c r="Q4" s="36">
        <f t="shared" si="7"/>
        <v>1.5967211467004141</v>
      </c>
      <c r="R4" s="28">
        <v>1.57</v>
      </c>
      <c r="S4" s="28">
        <v>1.61</v>
      </c>
      <c r="T4" s="28">
        <v>1.48</v>
      </c>
      <c r="U4" s="29">
        <v>3.38</v>
      </c>
      <c r="V4" s="29">
        <v>3.81</v>
      </c>
      <c r="W4" s="29">
        <v>2.5</v>
      </c>
      <c r="X4" s="30">
        <v>3.04</v>
      </c>
      <c r="Y4" s="58">
        <v>1.29</v>
      </c>
      <c r="Z4">
        <v>0.36899999999999999</v>
      </c>
      <c r="AA4">
        <v>0.56799999999999995</v>
      </c>
      <c r="AB4" s="31">
        <v>6.3E-2</v>
      </c>
    </row>
    <row r="5" spans="1:28">
      <c r="A5" s="22">
        <v>4</v>
      </c>
      <c r="B5" s="48">
        <v>20</v>
      </c>
      <c r="C5" s="48">
        <v>13</v>
      </c>
      <c r="D5" s="48" t="s">
        <v>135</v>
      </c>
      <c r="E5" s="23">
        <f t="shared" si="0"/>
        <v>13</v>
      </c>
      <c r="F5" s="23">
        <f t="shared" si="1"/>
        <v>11</v>
      </c>
      <c r="G5" s="23">
        <v>0</v>
      </c>
      <c r="H5" s="12">
        <f t="shared" si="2"/>
        <v>0.54166666666666663</v>
      </c>
      <c r="I5" s="24">
        <v>5</v>
      </c>
      <c r="J5" s="24">
        <v>7</v>
      </c>
      <c r="K5" s="24">
        <v>4</v>
      </c>
      <c r="L5" s="24">
        <v>8</v>
      </c>
      <c r="M5" s="25">
        <f t="shared" si="3"/>
        <v>0.41666666666666669</v>
      </c>
      <c r="N5" s="25">
        <f t="shared" si="4"/>
        <v>0.33333333333333331</v>
      </c>
      <c r="O5" s="26">
        <f t="shared" si="5"/>
        <v>0.22029890504753299</v>
      </c>
      <c r="P5" s="27">
        <f t="shared" si="6"/>
        <v>0.32057784677169116</v>
      </c>
      <c r="Q5" s="26">
        <f t="shared" si="7"/>
        <v>1.0731765068970813</v>
      </c>
      <c r="R5" s="28">
        <v>1.17</v>
      </c>
      <c r="S5" s="28">
        <v>1.1499999999999999</v>
      </c>
      <c r="T5" s="28">
        <v>1.19</v>
      </c>
      <c r="U5" s="29">
        <v>3.13</v>
      </c>
      <c r="V5" s="29">
        <v>3.62</v>
      </c>
      <c r="W5" s="29">
        <v>2.5499999999999998</v>
      </c>
      <c r="X5" s="30">
        <v>1.83</v>
      </c>
      <c r="Y5" s="58">
        <v>0.33000000000000007</v>
      </c>
      <c r="Z5">
        <v>0.68100000000000005</v>
      </c>
      <c r="AA5">
        <v>0.23499999999999999</v>
      </c>
      <c r="AB5" s="31">
        <v>0</v>
      </c>
    </row>
    <row r="6" spans="1:28">
      <c r="A6" s="22">
        <v>5</v>
      </c>
      <c r="B6" s="48">
        <v>20</v>
      </c>
      <c r="C6" s="48">
        <v>12</v>
      </c>
      <c r="D6" s="48" t="s">
        <v>136</v>
      </c>
      <c r="E6" s="32">
        <f t="shared" si="0"/>
        <v>17</v>
      </c>
      <c r="F6" s="32">
        <f t="shared" si="1"/>
        <v>7</v>
      </c>
      <c r="G6" s="32">
        <v>0</v>
      </c>
      <c r="H6" s="33">
        <f t="shared" si="2"/>
        <v>0.70833333333333337</v>
      </c>
      <c r="I6" s="34">
        <v>10</v>
      </c>
      <c r="J6" s="34">
        <v>2</v>
      </c>
      <c r="K6" s="34">
        <v>5</v>
      </c>
      <c r="L6" s="34">
        <v>7</v>
      </c>
      <c r="M6" s="35">
        <f t="shared" si="3"/>
        <v>0.83333333333333337</v>
      </c>
      <c r="N6" s="35">
        <f t="shared" si="4"/>
        <v>0.41666666666666669</v>
      </c>
      <c r="O6" s="36">
        <f t="shared" si="5"/>
        <v>1.1778499603496253</v>
      </c>
      <c r="P6" s="37">
        <f t="shared" si="6"/>
        <v>-0.37849658592688801</v>
      </c>
      <c r="Q6" s="36">
        <f t="shared" si="7"/>
        <v>0.64030401708251361</v>
      </c>
      <c r="R6" s="28">
        <v>1.72</v>
      </c>
      <c r="S6" s="28">
        <v>1.72</v>
      </c>
      <c r="T6" s="28">
        <v>1.72</v>
      </c>
      <c r="U6" s="29">
        <v>3.17</v>
      </c>
      <c r="V6" s="29">
        <v>3.59</v>
      </c>
      <c r="W6" s="29">
        <v>2.14</v>
      </c>
      <c r="X6" s="30">
        <v>3.13</v>
      </c>
      <c r="Y6" s="58">
        <v>0.91999999999999993</v>
      </c>
      <c r="Z6">
        <v>0.55000000000000004</v>
      </c>
      <c r="AA6">
        <v>0.41499999999999998</v>
      </c>
      <c r="AB6" s="31">
        <v>3.5000000000000003E-2</v>
      </c>
    </row>
    <row r="7" spans="1:28">
      <c r="A7" s="22">
        <v>6</v>
      </c>
      <c r="B7" s="48">
        <v>22</v>
      </c>
      <c r="C7" s="48">
        <v>15</v>
      </c>
      <c r="D7" s="48" t="s">
        <v>135</v>
      </c>
      <c r="E7" s="23">
        <f t="shared" si="0"/>
        <v>18</v>
      </c>
      <c r="F7" s="23">
        <f t="shared" si="1"/>
        <v>6</v>
      </c>
      <c r="G7" s="23">
        <v>0</v>
      </c>
      <c r="H7" s="12">
        <f t="shared" si="2"/>
        <v>0.75</v>
      </c>
      <c r="I7" s="24">
        <v>8</v>
      </c>
      <c r="J7" s="24">
        <v>4</v>
      </c>
      <c r="K7" s="24">
        <v>2</v>
      </c>
      <c r="L7" s="24">
        <v>10</v>
      </c>
      <c r="M7" s="25">
        <f t="shared" si="3"/>
        <v>0.66666666666666663</v>
      </c>
      <c r="N7" s="25">
        <f t="shared" si="4"/>
        <v>0.16666666666666666</v>
      </c>
      <c r="O7" s="26">
        <f t="shared" si="5"/>
        <v>1.3981488653971583</v>
      </c>
      <c r="P7" s="27">
        <f t="shared" si="6"/>
        <v>0.26834713340312161</v>
      </c>
      <c r="Q7" s="26">
        <f t="shared" si="7"/>
        <v>1.4552667833938129</v>
      </c>
      <c r="R7" s="28">
        <v>1.42</v>
      </c>
      <c r="S7" s="28">
        <v>1.46</v>
      </c>
      <c r="T7" s="28">
        <v>1.33</v>
      </c>
      <c r="U7" s="29">
        <v>3.46</v>
      </c>
      <c r="V7" s="29">
        <v>3.83</v>
      </c>
      <c r="W7" s="29">
        <v>2.33</v>
      </c>
      <c r="X7" s="30">
        <v>2.5</v>
      </c>
      <c r="Y7" s="58">
        <v>0.71</v>
      </c>
      <c r="Z7">
        <v>0.42699999999999999</v>
      </c>
      <c r="AA7">
        <v>0.55800000000000005</v>
      </c>
      <c r="AB7" s="31">
        <v>1.4999999999999999E-2</v>
      </c>
    </row>
    <row r="8" spans="1:28">
      <c r="A8" s="22">
        <v>7</v>
      </c>
      <c r="B8" s="48">
        <v>22</v>
      </c>
      <c r="C8" s="48">
        <v>15</v>
      </c>
      <c r="D8" s="48" t="s">
        <v>135</v>
      </c>
      <c r="E8" s="23">
        <f t="shared" si="0"/>
        <v>15</v>
      </c>
      <c r="F8" s="23">
        <f t="shared" si="1"/>
        <v>9</v>
      </c>
      <c r="G8" s="23">
        <v>0</v>
      </c>
      <c r="H8" s="12">
        <f t="shared" si="2"/>
        <v>0.625</v>
      </c>
      <c r="I8" s="24">
        <v>9</v>
      </c>
      <c r="J8" s="24">
        <v>3</v>
      </c>
      <c r="K8" s="24">
        <v>6</v>
      </c>
      <c r="L8" s="24">
        <v>6</v>
      </c>
      <c r="M8" s="25">
        <f t="shared" si="3"/>
        <v>0.75</v>
      </c>
      <c r="N8" s="25">
        <f t="shared" si="4"/>
        <v>0.5</v>
      </c>
      <c r="O8" s="26">
        <f t="shared" si="5"/>
        <v>0.67448975019608193</v>
      </c>
      <c r="P8" s="27">
        <f t="shared" si="6"/>
        <v>-0.33724487509804096</v>
      </c>
      <c r="Q8" s="26">
        <f t="shared" si="7"/>
        <v>0.79654774210531554</v>
      </c>
      <c r="R8" s="28">
        <v>1.43</v>
      </c>
      <c r="S8" s="28">
        <v>1.37</v>
      </c>
      <c r="T8" s="28">
        <v>1.52</v>
      </c>
      <c r="U8" s="29">
        <v>3.5</v>
      </c>
      <c r="V8" s="29">
        <v>3.87</v>
      </c>
      <c r="W8" s="29">
        <v>2.89</v>
      </c>
      <c r="X8" s="30">
        <v>2.25</v>
      </c>
      <c r="Y8" s="58">
        <v>0.37999999999999989</v>
      </c>
      <c r="Z8">
        <v>0.55800000000000005</v>
      </c>
      <c r="AA8">
        <v>0.42599999999999999</v>
      </c>
      <c r="AB8" s="31">
        <v>1.7000000000000001E-2</v>
      </c>
    </row>
    <row r="9" spans="1:28">
      <c r="A9" s="22">
        <v>8</v>
      </c>
      <c r="B9" s="48">
        <v>20</v>
      </c>
      <c r="C9" s="48">
        <v>15</v>
      </c>
      <c r="D9" s="48" t="s">
        <v>136</v>
      </c>
      <c r="E9" s="23">
        <f t="shared" si="0"/>
        <v>16</v>
      </c>
      <c r="F9" s="23">
        <f t="shared" si="1"/>
        <v>7</v>
      </c>
      <c r="G9" s="23">
        <v>1</v>
      </c>
      <c r="H9" s="12">
        <f t="shared" si="2"/>
        <v>0.66666666666666663</v>
      </c>
      <c r="I9" s="24">
        <v>9</v>
      </c>
      <c r="J9" s="24">
        <v>3</v>
      </c>
      <c r="K9" s="24">
        <v>4</v>
      </c>
      <c r="L9" s="24">
        <v>7</v>
      </c>
      <c r="M9" s="25">
        <f t="shared" si="3"/>
        <v>0.75</v>
      </c>
      <c r="N9" s="25">
        <f t="shared" si="4"/>
        <v>0.36363636363636365</v>
      </c>
      <c r="O9" s="26">
        <f t="shared" si="5"/>
        <v>1.0232454457131266</v>
      </c>
      <c r="P9" s="27">
        <f t="shared" si="6"/>
        <v>-0.16286702733951861</v>
      </c>
      <c r="Q9" s="26">
        <f t="shared" si="7"/>
        <v>0.84649334097210449</v>
      </c>
      <c r="R9" s="28">
        <v>1.56</v>
      </c>
      <c r="S9" s="28">
        <v>1.58</v>
      </c>
      <c r="T9" s="28">
        <v>1.54</v>
      </c>
      <c r="U9" s="29">
        <v>3.61</v>
      </c>
      <c r="V9" s="29">
        <v>3.69</v>
      </c>
      <c r="W9" s="29">
        <v>3.43</v>
      </c>
      <c r="X9" s="30">
        <v>2.7</v>
      </c>
      <c r="Y9" s="58">
        <v>0.57000000000000006</v>
      </c>
      <c r="Z9">
        <v>0.63800000000000001</v>
      </c>
      <c r="AA9">
        <v>0.34899999999999998</v>
      </c>
      <c r="AB9" s="31">
        <v>1.4E-2</v>
      </c>
    </row>
    <row r="10" spans="1:28">
      <c r="A10" s="22">
        <v>9</v>
      </c>
      <c r="B10" s="48">
        <v>19</v>
      </c>
      <c r="C10" s="48">
        <v>11</v>
      </c>
      <c r="D10" s="48" t="s">
        <v>136</v>
      </c>
      <c r="E10" s="23">
        <f t="shared" si="0"/>
        <v>17</v>
      </c>
      <c r="F10" s="23">
        <f t="shared" si="1"/>
        <v>7</v>
      </c>
      <c r="G10" s="23">
        <v>0</v>
      </c>
      <c r="H10" s="12">
        <f t="shared" si="2"/>
        <v>0.70833333333333337</v>
      </c>
      <c r="I10" s="24">
        <v>7</v>
      </c>
      <c r="J10" s="24">
        <v>5</v>
      </c>
      <c r="K10" s="24">
        <v>2</v>
      </c>
      <c r="L10" s="24">
        <v>10</v>
      </c>
      <c r="M10" s="25">
        <f t="shared" si="3"/>
        <v>0.58333333333333337</v>
      </c>
      <c r="N10" s="25">
        <f t="shared" si="4"/>
        <v>0.16666666666666666</v>
      </c>
      <c r="O10" s="26">
        <f t="shared" si="5"/>
        <v>1.1778499603496255</v>
      </c>
      <c r="P10" s="27">
        <f t="shared" si="6"/>
        <v>0.37849658592688795</v>
      </c>
      <c r="Q10" s="26">
        <f t="shared" si="7"/>
        <v>1.5617581232059237</v>
      </c>
      <c r="R10" s="28">
        <v>1.57</v>
      </c>
      <c r="S10" s="28">
        <v>1.54</v>
      </c>
      <c r="T10" s="28">
        <v>1.62</v>
      </c>
      <c r="U10" s="29">
        <v>3.46</v>
      </c>
      <c r="V10" s="29">
        <v>4</v>
      </c>
      <c r="W10" s="29">
        <v>2.14</v>
      </c>
      <c r="X10" s="30">
        <v>2.96</v>
      </c>
      <c r="Y10" s="58">
        <v>1.29</v>
      </c>
      <c r="Z10">
        <v>0.442</v>
      </c>
      <c r="AA10">
        <v>0.53100000000000003</v>
      </c>
      <c r="AB10" s="31">
        <v>2.7E-2</v>
      </c>
    </row>
    <row r="11" spans="1:28">
      <c r="A11" s="22">
        <v>10</v>
      </c>
      <c r="B11" s="48">
        <v>19</v>
      </c>
      <c r="C11" s="48">
        <v>12</v>
      </c>
      <c r="D11" s="48" t="s">
        <v>136</v>
      </c>
      <c r="E11" s="23">
        <f t="shared" si="0"/>
        <v>15</v>
      </c>
      <c r="F11" s="23">
        <f t="shared" si="1"/>
        <v>9</v>
      </c>
      <c r="G11" s="23">
        <v>0</v>
      </c>
      <c r="H11" s="12">
        <f t="shared" si="2"/>
        <v>0.625</v>
      </c>
      <c r="I11" s="24">
        <v>5</v>
      </c>
      <c r="J11" s="24">
        <v>7</v>
      </c>
      <c r="K11" s="24">
        <v>2</v>
      </c>
      <c r="L11" s="24">
        <v>10</v>
      </c>
      <c r="M11" s="25">
        <f t="shared" si="3"/>
        <v>0.41666666666666669</v>
      </c>
      <c r="N11" s="25">
        <f t="shared" si="4"/>
        <v>0.16666666666666666</v>
      </c>
      <c r="O11" s="26">
        <f t="shared" si="5"/>
        <v>0.75699317185377601</v>
      </c>
      <c r="P11" s="27">
        <f t="shared" si="6"/>
        <v>0.58892498017481265</v>
      </c>
      <c r="Q11" s="26">
        <f t="shared" si="7"/>
        <v>1.5617581232059234</v>
      </c>
      <c r="R11" s="28">
        <v>1.54</v>
      </c>
      <c r="S11" s="28">
        <v>1.55</v>
      </c>
      <c r="T11" s="28">
        <v>1.53</v>
      </c>
      <c r="U11" s="29">
        <v>3.79</v>
      </c>
      <c r="V11" s="29">
        <v>4.2699999999999996</v>
      </c>
      <c r="W11" s="29">
        <v>3</v>
      </c>
      <c r="X11" s="30">
        <v>3.29</v>
      </c>
      <c r="Y11" s="58">
        <v>1.63</v>
      </c>
      <c r="Z11">
        <v>0.51800000000000002</v>
      </c>
      <c r="AA11">
        <v>0.36799999999999999</v>
      </c>
      <c r="AB11" s="31">
        <v>0.112</v>
      </c>
    </row>
    <row r="12" spans="1:28">
      <c r="A12" s="22">
        <v>11</v>
      </c>
      <c r="B12" s="48">
        <v>22</v>
      </c>
      <c r="C12" s="48">
        <v>14</v>
      </c>
      <c r="D12" s="48" t="s">
        <v>136</v>
      </c>
      <c r="E12" s="23">
        <f t="shared" si="0"/>
        <v>17</v>
      </c>
      <c r="F12" s="23">
        <f t="shared" si="1"/>
        <v>7</v>
      </c>
      <c r="G12" s="23">
        <v>0</v>
      </c>
      <c r="H12" s="12">
        <f t="shared" si="2"/>
        <v>0.70833333333333337</v>
      </c>
      <c r="I12" s="24">
        <v>10</v>
      </c>
      <c r="J12" s="24">
        <v>2</v>
      </c>
      <c r="K12" s="24">
        <v>5</v>
      </c>
      <c r="L12" s="24">
        <v>7</v>
      </c>
      <c r="M12" s="25">
        <f t="shared" si="3"/>
        <v>0.83333333333333337</v>
      </c>
      <c r="N12" s="25">
        <f t="shared" si="4"/>
        <v>0.41666666666666669</v>
      </c>
      <c r="O12" s="26">
        <f t="shared" si="5"/>
        <v>1.1778499603496253</v>
      </c>
      <c r="P12" s="27">
        <f t="shared" si="6"/>
        <v>-0.37849658592688801</v>
      </c>
      <c r="Q12" s="26">
        <f t="shared" si="7"/>
        <v>0.64030401708251361</v>
      </c>
      <c r="R12" s="28">
        <v>1.45</v>
      </c>
      <c r="S12" s="28">
        <v>1.48</v>
      </c>
      <c r="T12" s="28">
        <v>1.39</v>
      </c>
      <c r="U12" s="29">
        <v>3.92</v>
      </c>
      <c r="V12" s="29">
        <v>4.3499999999999996</v>
      </c>
      <c r="W12" s="29">
        <v>2.86</v>
      </c>
      <c r="X12" s="30">
        <v>2.71</v>
      </c>
      <c r="Y12" s="58">
        <v>0.29000000000000004</v>
      </c>
      <c r="Z12">
        <v>0.69</v>
      </c>
      <c r="AA12">
        <v>0.30299999999999999</v>
      </c>
      <c r="AB12" s="31">
        <v>1.2E-2</v>
      </c>
    </row>
    <row r="13" spans="1:28">
      <c r="A13" s="22">
        <v>12</v>
      </c>
      <c r="B13" s="48">
        <v>19</v>
      </c>
      <c r="C13" s="48">
        <v>12</v>
      </c>
      <c r="D13" s="48" t="s">
        <v>136</v>
      </c>
      <c r="E13" s="23">
        <f t="shared" si="0"/>
        <v>15</v>
      </c>
      <c r="F13" s="23">
        <f t="shared" si="1"/>
        <v>9</v>
      </c>
      <c r="G13" s="23">
        <v>0</v>
      </c>
      <c r="H13" s="12">
        <f t="shared" si="2"/>
        <v>0.625</v>
      </c>
      <c r="I13" s="24">
        <v>8</v>
      </c>
      <c r="J13" s="24">
        <v>4</v>
      </c>
      <c r="K13" s="24">
        <v>5</v>
      </c>
      <c r="L13" s="24">
        <v>7</v>
      </c>
      <c r="M13" s="25">
        <f t="shared" si="3"/>
        <v>0.66666666666666663</v>
      </c>
      <c r="N13" s="25">
        <f t="shared" si="4"/>
        <v>0.41666666666666669</v>
      </c>
      <c r="O13" s="26">
        <f t="shared" si="5"/>
        <v>0.6411556935433822</v>
      </c>
      <c r="P13" s="27">
        <f t="shared" si="6"/>
        <v>-0.11014945252376641</v>
      </c>
      <c r="Q13" s="26">
        <f t="shared" si="7"/>
        <v>0.93181316733380648</v>
      </c>
      <c r="R13" s="28">
        <v>1.44</v>
      </c>
      <c r="S13" s="28">
        <v>1.43</v>
      </c>
      <c r="T13" s="28">
        <v>1.47</v>
      </c>
      <c r="U13" s="29">
        <v>3.83</v>
      </c>
      <c r="V13" s="29">
        <v>4.33</v>
      </c>
      <c r="W13" s="29">
        <v>3</v>
      </c>
      <c r="X13" s="30">
        <v>2.67</v>
      </c>
      <c r="Y13" s="58">
        <v>0.20999999999999996</v>
      </c>
      <c r="Z13">
        <v>0.64</v>
      </c>
      <c r="AA13">
        <v>0.35499999999999998</v>
      </c>
      <c r="AB13" s="31">
        <v>5.0000000000000001E-3</v>
      </c>
    </row>
    <row r="14" spans="1:28">
      <c r="A14" s="22">
        <v>13</v>
      </c>
      <c r="B14" s="48">
        <v>21</v>
      </c>
      <c r="C14" s="48">
        <v>17</v>
      </c>
      <c r="D14" s="48" t="s">
        <v>135</v>
      </c>
      <c r="E14" s="23">
        <f t="shared" si="0"/>
        <v>15</v>
      </c>
      <c r="F14" s="23">
        <f t="shared" si="1"/>
        <v>9</v>
      </c>
      <c r="G14" s="23">
        <v>0</v>
      </c>
      <c r="H14" s="12">
        <f t="shared" si="2"/>
        <v>0.625</v>
      </c>
      <c r="I14" s="24">
        <v>9</v>
      </c>
      <c r="J14" s="24">
        <v>3</v>
      </c>
      <c r="K14" s="24">
        <v>6</v>
      </c>
      <c r="L14" s="24">
        <v>6</v>
      </c>
      <c r="M14" s="25">
        <f t="shared" si="3"/>
        <v>0.75</v>
      </c>
      <c r="N14" s="25">
        <f t="shared" si="4"/>
        <v>0.5</v>
      </c>
      <c r="O14" s="26">
        <f t="shared" si="5"/>
        <v>0.67448975019608193</v>
      </c>
      <c r="P14" s="27">
        <f t="shared" si="6"/>
        <v>-0.33724487509804096</v>
      </c>
      <c r="Q14" s="26">
        <f t="shared" si="7"/>
        <v>0.79654774210531554</v>
      </c>
      <c r="R14" s="28">
        <v>1.43</v>
      </c>
      <c r="S14" s="28">
        <v>1.41</v>
      </c>
      <c r="T14" s="28">
        <v>1.45</v>
      </c>
      <c r="U14" s="29">
        <v>3.29</v>
      </c>
      <c r="V14" s="29">
        <v>3.73</v>
      </c>
      <c r="W14" s="29">
        <v>2.56</v>
      </c>
      <c r="X14" s="30">
        <v>2.04</v>
      </c>
      <c r="Y14" s="58">
        <v>0.29000000000000004</v>
      </c>
      <c r="Z14">
        <v>0.55700000000000005</v>
      </c>
      <c r="AA14">
        <v>0.42899999999999999</v>
      </c>
      <c r="AB14" s="31">
        <v>1.4999999999999999E-2</v>
      </c>
    </row>
    <row r="15" spans="1:28">
      <c r="A15" s="22">
        <v>14</v>
      </c>
      <c r="B15" s="48">
        <v>22</v>
      </c>
      <c r="C15" s="48">
        <v>14</v>
      </c>
      <c r="D15" s="48" t="s">
        <v>135</v>
      </c>
      <c r="E15" s="23">
        <f t="shared" si="0"/>
        <v>16</v>
      </c>
      <c r="F15" s="23">
        <f t="shared" si="1"/>
        <v>6</v>
      </c>
      <c r="G15" s="23">
        <v>2</v>
      </c>
      <c r="H15" s="12">
        <f t="shared" si="2"/>
        <v>0.66666666666666663</v>
      </c>
      <c r="I15" s="24">
        <v>7</v>
      </c>
      <c r="J15" s="24">
        <v>3</v>
      </c>
      <c r="K15" s="24">
        <v>3</v>
      </c>
      <c r="L15" s="24">
        <v>9</v>
      </c>
      <c r="M15" s="25">
        <f t="shared" si="3"/>
        <v>0.7</v>
      </c>
      <c r="N15" s="25">
        <f t="shared" si="4"/>
        <v>0.25</v>
      </c>
      <c r="O15" s="26">
        <f t="shared" si="5"/>
        <v>1.1988902629041227</v>
      </c>
      <c r="P15" s="27">
        <f t="shared" si="6"/>
        <v>7.5044618744020575E-2</v>
      </c>
      <c r="Q15" s="26">
        <f t="shared" si="7"/>
        <v>1.0941417463952121</v>
      </c>
      <c r="R15" s="28">
        <v>1.75</v>
      </c>
      <c r="S15" s="28">
        <v>1.76</v>
      </c>
      <c r="T15" s="28">
        <v>1.72</v>
      </c>
      <c r="U15" s="29">
        <v>3.36</v>
      </c>
      <c r="V15" s="29">
        <v>3.5</v>
      </c>
      <c r="W15" s="29">
        <v>3</v>
      </c>
      <c r="X15" s="30">
        <v>3.27</v>
      </c>
      <c r="Y15" s="58">
        <v>1.27</v>
      </c>
      <c r="Z15">
        <v>0.438</v>
      </c>
      <c r="AA15">
        <v>0.51500000000000001</v>
      </c>
      <c r="AB15" s="31">
        <v>4.4999999999999998E-2</v>
      </c>
    </row>
    <row r="16" spans="1:28">
      <c r="A16" s="22">
        <v>15</v>
      </c>
      <c r="B16" s="48">
        <v>22</v>
      </c>
      <c r="C16" s="48">
        <v>16</v>
      </c>
      <c r="D16" s="48" t="s">
        <v>135</v>
      </c>
      <c r="E16" s="23">
        <f t="shared" si="0"/>
        <v>16</v>
      </c>
      <c r="F16" s="23">
        <f t="shared" si="1"/>
        <v>7</v>
      </c>
      <c r="G16" s="23">
        <v>1</v>
      </c>
      <c r="H16" s="12">
        <f t="shared" si="2"/>
        <v>0.66666666666666663</v>
      </c>
      <c r="I16" s="24">
        <v>8</v>
      </c>
      <c r="J16" s="24">
        <v>3</v>
      </c>
      <c r="K16" s="24">
        <v>4</v>
      </c>
      <c r="L16" s="24">
        <v>8</v>
      </c>
      <c r="M16" s="25">
        <f t="shared" si="3"/>
        <v>0.72727272727272729</v>
      </c>
      <c r="N16" s="25">
        <f t="shared" si="4"/>
        <v>0.33333333333333331</v>
      </c>
      <c r="O16" s="26">
        <f t="shared" si="5"/>
        <v>1.0353126458786948</v>
      </c>
      <c r="P16" s="27">
        <f t="shared" si="6"/>
        <v>-8.6929023643889741E-2</v>
      </c>
      <c r="Q16" s="26">
        <f t="shared" si="7"/>
        <v>0.91393235741394296</v>
      </c>
      <c r="R16" s="28">
        <v>1.86</v>
      </c>
      <c r="S16" s="28">
        <v>1.87</v>
      </c>
      <c r="T16" s="28">
        <v>1.83</v>
      </c>
      <c r="U16" s="29">
        <v>3.74</v>
      </c>
      <c r="V16" s="29">
        <v>4.1900000000000004</v>
      </c>
      <c r="W16" s="29">
        <v>2.71</v>
      </c>
      <c r="X16" s="30">
        <v>3.43</v>
      </c>
      <c r="Y16" s="58">
        <v>0.87000000000000011</v>
      </c>
      <c r="Z16">
        <v>0.63100000000000001</v>
      </c>
      <c r="AA16">
        <v>0.36</v>
      </c>
      <c r="AB16" s="31">
        <v>0.01</v>
      </c>
    </row>
    <row r="17" spans="1:28">
      <c r="A17" s="22">
        <v>16</v>
      </c>
      <c r="B17" s="48">
        <v>20</v>
      </c>
      <c r="C17" s="48">
        <v>14</v>
      </c>
      <c r="D17" s="48" t="s">
        <v>135</v>
      </c>
      <c r="E17" s="23">
        <f t="shared" si="0"/>
        <v>17</v>
      </c>
      <c r="F17" s="23">
        <f t="shared" si="1"/>
        <v>7</v>
      </c>
      <c r="G17" s="23">
        <v>0</v>
      </c>
      <c r="H17" s="12">
        <f t="shared" si="2"/>
        <v>0.70833333333333337</v>
      </c>
      <c r="I17" s="24">
        <v>10</v>
      </c>
      <c r="J17" s="24">
        <v>2</v>
      </c>
      <c r="K17" s="24">
        <v>5</v>
      </c>
      <c r="L17" s="24">
        <v>7</v>
      </c>
      <c r="M17" s="25">
        <f t="shared" si="3"/>
        <v>0.83333333333333337</v>
      </c>
      <c r="N17" s="25">
        <f t="shared" si="4"/>
        <v>0.41666666666666669</v>
      </c>
      <c r="O17" s="26">
        <f t="shared" si="5"/>
        <v>1.1778499603496253</v>
      </c>
      <c r="P17" s="27">
        <f t="shared" si="6"/>
        <v>-0.37849658592688801</v>
      </c>
      <c r="Q17" s="26">
        <f t="shared" si="7"/>
        <v>0.64030401708251361</v>
      </c>
      <c r="R17" s="28">
        <v>1.39</v>
      </c>
      <c r="S17" s="28">
        <v>1.41</v>
      </c>
      <c r="T17" s="28">
        <v>1.34</v>
      </c>
      <c r="U17" s="29">
        <v>3.25</v>
      </c>
      <c r="V17" s="29">
        <v>3.65</v>
      </c>
      <c r="W17" s="29">
        <v>2.29</v>
      </c>
      <c r="X17" s="30">
        <v>2.67</v>
      </c>
      <c r="Y17" s="58">
        <v>0.25</v>
      </c>
      <c r="Z17">
        <v>0.67100000000000004</v>
      </c>
      <c r="AA17">
        <v>0.32500000000000001</v>
      </c>
      <c r="AB17" s="31">
        <v>2E-3</v>
      </c>
    </row>
    <row r="18" spans="1:28">
      <c r="A18" s="22">
        <v>17</v>
      </c>
      <c r="B18" s="48">
        <v>22</v>
      </c>
      <c r="C18" s="48">
        <v>12</v>
      </c>
      <c r="D18" s="48" t="s">
        <v>136</v>
      </c>
      <c r="E18" s="23">
        <f t="shared" si="0"/>
        <v>15</v>
      </c>
      <c r="F18" s="23">
        <f t="shared" si="1"/>
        <v>8</v>
      </c>
      <c r="G18" s="23">
        <v>1</v>
      </c>
      <c r="H18" s="12">
        <f t="shared" si="2"/>
        <v>0.625</v>
      </c>
      <c r="I18" s="24">
        <v>4</v>
      </c>
      <c r="J18" s="24">
        <v>8</v>
      </c>
      <c r="K18" s="24">
        <v>0</v>
      </c>
      <c r="L18" s="24">
        <v>11</v>
      </c>
      <c r="M18" s="25">
        <f t="shared" si="3"/>
        <v>0.33333333333333331</v>
      </c>
      <c r="N18" s="25">
        <f t="shared" si="4"/>
        <v>4.5454545454545456E-2</v>
      </c>
      <c r="O18" s="26">
        <f t="shared" si="5"/>
        <v>1.2598943302894401</v>
      </c>
      <c r="P18" s="27">
        <f t="shared" si="6"/>
        <v>1.0606744644401778</v>
      </c>
      <c r="Q18" s="26">
        <f t="shared" si="7"/>
        <v>3.8050827699896321</v>
      </c>
      <c r="R18" s="28">
        <v>1.41</v>
      </c>
      <c r="S18" s="28">
        <v>1.36</v>
      </c>
      <c r="T18" s="28">
        <v>1.5</v>
      </c>
      <c r="U18" s="29">
        <v>2.78</v>
      </c>
      <c r="V18" s="29">
        <v>3.27</v>
      </c>
      <c r="W18" s="29">
        <v>1.88</v>
      </c>
      <c r="X18" s="30">
        <v>2.52</v>
      </c>
      <c r="Y18" s="58">
        <v>0.6100000000000001</v>
      </c>
      <c r="Z18">
        <v>0.54100000000000004</v>
      </c>
      <c r="AA18">
        <v>0.44400000000000001</v>
      </c>
      <c r="AB18" s="31">
        <v>1.4999999999999999E-2</v>
      </c>
    </row>
    <row r="19" spans="1:28">
      <c r="A19" s="22">
        <v>18</v>
      </c>
      <c r="B19" s="48">
        <v>19</v>
      </c>
      <c r="C19" s="48">
        <v>11</v>
      </c>
      <c r="D19" s="48" t="s">
        <v>135</v>
      </c>
      <c r="E19" s="23">
        <f t="shared" si="0"/>
        <v>18</v>
      </c>
      <c r="F19" s="23">
        <f t="shared" si="1"/>
        <v>6</v>
      </c>
      <c r="G19" s="23">
        <v>0</v>
      </c>
      <c r="H19" s="12">
        <f t="shared" si="2"/>
        <v>0.75</v>
      </c>
      <c r="I19" s="24">
        <v>10</v>
      </c>
      <c r="J19" s="24">
        <v>2</v>
      </c>
      <c r="K19" s="24">
        <v>4</v>
      </c>
      <c r="L19" s="24">
        <v>8</v>
      </c>
      <c r="M19" s="25">
        <f t="shared" si="3"/>
        <v>0.83333333333333337</v>
      </c>
      <c r="N19" s="25">
        <f t="shared" si="4"/>
        <v>0.33333333333333331</v>
      </c>
      <c r="O19" s="26">
        <f t="shared" si="5"/>
        <v>1.3981488653971583</v>
      </c>
      <c r="P19" s="27">
        <f t="shared" si="6"/>
        <v>-0.26834713340312155</v>
      </c>
      <c r="Q19" s="26">
        <f t="shared" si="7"/>
        <v>0.68715922840478094</v>
      </c>
      <c r="R19" s="28">
        <v>1.45</v>
      </c>
      <c r="S19" s="28">
        <v>1.44</v>
      </c>
      <c r="T19" s="28">
        <v>1.47</v>
      </c>
      <c r="U19" s="29">
        <v>3.25</v>
      </c>
      <c r="V19" s="29">
        <v>3.61</v>
      </c>
      <c r="W19" s="29">
        <v>2.17</v>
      </c>
      <c r="X19" s="30">
        <v>2.67</v>
      </c>
      <c r="Y19" s="58">
        <v>0.25</v>
      </c>
      <c r="Z19">
        <v>0.65500000000000003</v>
      </c>
      <c r="AA19">
        <v>0.34499999999999997</v>
      </c>
      <c r="AB19" s="31">
        <v>0</v>
      </c>
    </row>
    <row r="20" spans="1:28">
      <c r="A20" s="22">
        <v>19</v>
      </c>
      <c r="B20" s="48">
        <v>19</v>
      </c>
      <c r="C20" s="48">
        <v>11</v>
      </c>
      <c r="D20" s="48" t="s">
        <v>136</v>
      </c>
      <c r="E20" s="23">
        <f t="shared" si="0"/>
        <v>16</v>
      </c>
      <c r="F20" s="23">
        <f t="shared" si="1"/>
        <v>5</v>
      </c>
      <c r="G20" s="23">
        <v>3</v>
      </c>
      <c r="H20" s="12">
        <f t="shared" si="2"/>
        <v>0.66666666666666663</v>
      </c>
      <c r="I20" s="24">
        <v>9</v>
      </c>
      <c r="J20" s="24">
        <v>2</v>
      </c>
      <c r="K20" s="24">
        <v>3</v>
      </c>
      <c r="L20" s="24">
        <v>7</v>
      </c>
      <c r="M20" s="25">
        <f t="shared" si="3"/>
        <v>0.81818181818181823</v>
      </c>
      <c r="N20" s="25">
        <f t="shared" si="4"/>
        <v>0.3</v>
      </c>
      <c r="O20" s="26">
        <f t="shared" si="5"/>
        <v>1.4328583812454254</v>
      </c>
      <c r="P20" s="27">
        <f t="shared" si="6"/>
        <v>-0.19202867791467187</v>
      </c>
      <c r="Q20" s="26">
        <f t="shared" si="7"/>
        <v>0.75945827144935452</v>
      </c>
      <c r="R20" s="28">
        <v>1.66</v>
      </c>
      <c r="S20" s="28">
        <v>1.63</v>
      </c>
      <c r="T20" s="28">
        <v>1.74</v>
      </c>
      <c r="U20" s="29">
        <v>3.62</v>
      </c>
      <c r="V20" s="29">
        <v>4.1900000000000004</v>
      </c>
      <c r="W20" s="29">
        <v>1.8</v>
      </c>
      <c r="X20" s="30">
        <v>2.67</v>
      </c>
      <c r="Y20" s="58">
        <v>1.1000000000000001</v>
      </c>
      <c r="Z20">
        <v>0.86699999999999999</v>
      </c>
      <c r="AA20">
        <v>0.13300000000000001</v>
      </c>
      <c r="AB20" s="31">
        <v>0</v>
      </c>
    </row>
    <row r="21" spans="1:28">
      <c r="A21" s="38">
        <v>20</v>
      </c>
      <c r="B21" s="49">
        <v>20</v>
      </c>
      <c r="C21" s="49">
        <v>13</v>
      </c>
      <c r="D21" s="49" t="s">
        <v>136</v>
      </c>
      <c r="E21" s="10">
        <f t="shared" si="0"/>
        <v>15</v>
      </c>
      <c r="F21" s="10">
        <f t="shared" si="1"/>
        <v>3</v>
      </c>
      <c r="G21" s="10">
        <v>6</v>
      </c>
      <c r="H21" s="11">
        <f t="shared" si="2"/>
        <v>0.625</v>
      </c>
      <c r="I21" s="14">
        <v>7</v>
      </c>
      <c r="J21" s="14">
        <v>2</v>
      </c>
      <c r="K21" s="14">
        <v>1</v>
      </c>
      <c r="L21" s="14">
        <v>8</v>
      </c>
      <c r="M21" s="15">
        <f t="shared" si="3"/>
        <v>0.77777777777777779</v>
      </c>
      <c r="N21" s="15">
        <f t="shared" si="4"/>
        <v>0.1111111111111111</v>
      </c>
      <c r="O21" s="8">
        <f t="shared" si="5"/>
        <v>1.9853500226337373</v>
      </c>
      <c r="P21" s="9">
        <f t="shared" si="6"/>
        <v>0.22796533753048143</v>
      </c>
      <c r="Q21" s="8">
        <f t="shared" si="7"/>
        <v>1.5723809323445579</v>
      </c>
      <c r="R21" s="13">
        <v>1.86</v>
      </c>
      <c r="S21" s="13">
        <v>1.89</v>
      </c>
      <c r="T21" s="13">
        <v>1.71</v>
      </c>
      <c r="U21" s="7">
        <v>4.0599999999999996</v>
      </c>
      <c r="V21" s="7">
        <v>4.13</v>
      </c>
      <c r="W21" s="7">
        <v>3.67</v>
      </c>
      <c r="X21" s="16">
        <v>2.83</v>
      </c>
      <c r="Y21" s="59">
        <v>1.2200000000000002</v>
      </c>
      <c r="Z21" s="3">
        <v>0.32900000000000001</v>
      </c>
      <c r="AA21" s="3">
        <v>0.63400000000000001</v>
      </c>
      <c r="AB21" s="39">
        <v>3.7999999999999999E-2</v>
      </c>
    </row>
    <row r="22" spans="1:28">
      <c r="A22" s="40" t="s">
        <v>105</v>
      </c>
      <c r="B22" s="50">
        <f t="shared" ref="B22:G22" si="8">AVERAGE(B2:B21)</f>
        <v>20.65</v>
      </c>
      <c r="C22" s="50">
        <f t="shared" si="8"/>
        <v>13.3</v>
      </c>
      <c r="D22" s="50"/>
      <c r="E22" s="52">
        <f t="shared" si="8"/>
        <v>16</v>
      </c>
      <c r="F22" s="52">
        <f t="shared" si="8"/>
        <v>7.3</v>
      </c>
      <c r="G22" s="52">
        <f t="shared" si="8"/>
        <v>0.7</v>
      </c>
      <c r="H22" s="41">
        <f>AVERAGE(H2:H21)</f>
        <v>0.66666666666666663</v>
      </c>
      <c r="I22" s="50">
        <f t="shared" ref="I22:J22" si="9">AVERAGE(I2:I21)</f>
        <v>8</v>
      </c>
      <c r="J22" s="50">
        <f t="shared" si="9"/>
        <v>3.65</v>
      </c>
      <c r="K22" s="50">
        <f t="shared" ref="K22:L22" si="10">AVERAGE(K2:K21)</f>
        <v>3.65</v>
      </c>
      <c r="L22" s="50">
        <f t="shared" si="10"/>
        <v>8</v>
      </c>
      <c r="M22" s="30">
        <f t="shared" ref="M22:AB22" si="11">AVERAGE(M2:M21)</f>
        <v>0.68866161616161625</v>
      </c>
      <c r="N22" s="30">
        <f t="shared" si="11"/>
        <v>0.31184343434343431</v>
      </c>
      <c r="O22" s="42">
        <f t="shared" si="11"/>
        <v>1.0720432801294777</v>
      </c>
      <c r="P22" s="42">
        <f t="shared" si="11"/>
        <v>8.1456831669681345E-3</v>
      </c>
      <c r="Q22" s="42">
        <f t="shared" si="11"/>
        <v>1.1413917039146142</v>
      </c>
      <c r="R22" s="30">
        <f t="shared" si="11"/>
        <v>1.5269999999999999</v>
      </c>
      <c r="S22" s="30">
        <f t="shared" si="11"/>
        <v>1.5260000000000002</v>
      </c>
      <c r="T22" s="30">
        <f t="shared" si="11"/>
        <v>1.5214999999999996</v>
      </c>
      <c r="U22" s="42">
        <f t="shared" si="11"/>
        <v>3.4740000000000002</v>
      </c>
      <c r="V22" s="42">
        <f t="shared" si="11"/>
        <v>3.8739999999999997</v>
      </c>
      <c r="W22" s="42">
        <f t="shared" si="11"/>
        <v>2.5815000000000001</v>
      </c>
      <c r="X22" s="30">
        <f t="shared" si="11"/>
        <v>2.6865000000000006</v>
      </c>
      <c r="Y22" s="60">
        <f t="shared" si="11"/>
        <v>0.74450000000000005</v>
      </c>
      <c r="Z22" s="42">
        <f t="shared" si="11"/>
        <v>0.53974999999999995</v>
      </c>
      <c r="AA22" s="42">
        <f t="shared" si="11"/>
        <v>0.43150000000000005</v>
      </c>
      <c r="AB22" s="43">
        <f t="shared" si="11"/>
        <v>2.4800000000000003E-2</v>
      </c>
    </row>
    <row r="23" spans="1:28">
      <c r="A23" s="44" t="s">
        <v>104</v>
      </c>
      <c r="B23" s="51">
        <f t="shared" ref="B23:G23" si="12">_xlfn.STDEV.S(B2:B21)</f>
        <v>1.2680278927697552</v>
      </c>
      <c r="C23" s="51">
        <f t="shared" si="12"/>
        <v>1.7198531149031582</v>
      </c>
      <c r="D23" s="51"/>
      <c r="E23" s="53">
        <f t="shared" si="12"/>
        <v>1.2139539573337679</v>
      </c>
      <c r="F23" s="53">
        <f t="shared" si="12"/>
        <v>1.7198531149031617</v>
      </c>
      <c r="G23" s="53">
        <f t="shared" si="12"/>
        <v>1.4903196407411894</v>
      </c>
      <c r="H23" s="45">
        <f>_xlfn.STDEV.S(H2:H21)</f>
        <v>5.0581414888907009E-2</v>
      </c>
      <c r="I23" s="51">
        <f t="shared" ref="I23:J23" si="13">_xlfn.STDEV.S(I2:I21)</f>
        <v>1.8637822325921867</v>
      </c>
      <c r="J23" s="51">
        <f t="shared" si="13"/>
        <v>1.9269556026896009</v>
      </c>
      <c r="K23" s="51">
        <f t="shared" ref="K23:L23" si="14">_xlfn.STDEV.S(K2:K21)</f>
        <v>1.6944180805158295</v>
      </c>
      <c r="L23" s="51">
        <f t="shared" si="14"/>
        <v>1.4867838833500564</v>
      </c>
      <c r="M23" s="16">
        <f t="shared" ref="M23:AB23" si="15">_xlfn.STDEV.S(M2:M21)</f>
        <v>0.15692961375265468</v>
      </c>
      <c r="N23" s="16">
        <f t="shared" si="15"/>
        <v>0.13383567298870594</v>
      </c>
      <c r="O23" s="6">
        <f t="shared" si="15"/>
        <v>0.37420361470860564</v>
      </c>
      <c r="P23" s="6">
        <f t="shared" si="15"/>
        <v>0.40324978922990662</v>
      </c>
      <c r="Q23" s="6">
        <f t="shared" si="15"/>
        <v>0.71932347910207339</v>
      </c>
      <c r="R23" s="16">
        <f t="shared" si="15"/>
        <v>0.1760113632695342</v>
      </c>
      <c r="S23" s="16">
        <f t="shared" si="15"/>
        <v>0.18717849629079605</v>
      </c>
      <c r="T23" s="16">
        <f t="shared" si="15"/>
        <v>0.1617755104750869</v>
      </c>
      <c r="U23" s="6">
        <f t="shared" si="15"/>
        <v>0.33966547010102066</v>
      </c>
      <c r="V23" s="6">
        <f t="shared" si="15"/>
        <v>0.33861016243648556</v>
      </c>
      <c r="W23" s="6">
        <f t="shared" si="15"/>
        <v>0.50222950300058034</v>
      </c>
      <c r="X23" s="16">
        <f t="shared" si="15"/>
        <v>0.42683997987659095</v>
      </c>
      <c r="Y23" s="61">
        <f t="shared" si="15"/>
        <v>0.43716159844832525</v>
      </c>
      <c r="Z23" s="6">
        <f t="shared" si="15"/>
        <v>0.1517764543836207</v>
      </c>
      <c r="AA23" s="6">
        <f t="shared" si="15"/>
        <v>0.1443488099963709</v>
      </c>
      <c r="AB23" s="46">
        <f t="shared" si="15"/>
        <v>2.6920154844318877E-2</v>
      </c>
    </row>
    <row r="26" spans="1:28">
      <c r="O26" s="5"/>
      <c r="Q26" s="4"/>
    </row>
    <row r="27" spans="1:28">
      <c r="O27" s="1"/>
    </row>
  </sheetData>
  <phoneticPr fontId="1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28E8-9725-4093-BC80-6579087AF8DE}">
  <dimension ref="A1:E29"/>
  <sheetViews>
    <sheetView workbookViewId="0">
      <selection activeCell="D13" sqref="D13"/>
    </sheetView>
  </sheetViews>
  <sheetFormatPr defaultRowHeight="18.75"/>
  <cols>
    <col min="2" max="3" width="57.5" customWidth="1"/>
    <col min="4" max="4" width="32.75" customWidth="1"/>
    <col min="5" max="5" width="24.875" customWidth="1"/>
  </cols>
  <sheetData>
    <row r="1" spans="1:5">
      <c r="A1" s="3" t="s">
        <v>75</v>
      </c>
      <c r="B1" s="3" t="s">
        <v>96</v>
      </c>
      <c r="C1" s="3" t="s">
        <v>95</v>
      </c>
      <c r="D1" s="3" t="s">
        <v>97</v>
      </c>
      <c r="E1" s="3" t="s">
        <v>124</v>
      </c>
    </row>
    <row r="2" spans="1:5">
      <c r="A2">
        <v>1</v>
      </c>
      <c r="B2">
        <v>1.5</v>
      </c>
      <c r="C2">
        <v>1.23</v>
      </c>
      <c r="D2">
        <v>4</v>
      </c>
      <c r="E2">
        <v>-0.47</v>
      </c>
    </row>
    <row r="3" spans="1:5">
      <c r="A3">
        <v>4</v>
      </c>
      <c r="B3">
        <v>1.63</v>
      </c>
      <c r="C3">
        <v>1.3</v>
      </c>
      <c r="D3">
        <v>4</v>
      </c>
      <c r="E3">
        <v>-0.44</v>
      </c>
    </row>
    <row r="4" spans="1:5">
      <c r="A4">
        <v>7</v>
      </c>
      <c r="B4">
        <v>1.57</v>
      </c>
      <c r="C4">
        <v>1.3</v>
      </c>
      <c r="D4">
        <v>4</v>
      </c>
      <c r="E4">
        <v>-0.26</v>
      </c>
    </row>
    <row r="5" spans="1:5">
      <c r="A5">
        <v>9</v>
      </c>
      <c r="B5">
        <v>1.43</v>
      </c>
      <c r="C5">
        <v>1.2</v>
      </c>
      <c r="D5">
        <v>4</v>
      </c>
      <c r="E5">
        <v>-0.54</v>
      </c>
    </row>
    <row r="6" spans="1:5">
      <c r="A6">
        <v>11</v>
      </c>
      <c r="B6">
        <v>1.97</v>
      </c>
      <c r="C6">
        <v>0.83</v>
      </c>
      <c r="D6">
        <v>4</v>
      </c>
      <c r="E6">
        <v>-0.47</v>
      </c>
    </row>
    <row r="7" spans="1:5">
      <c r="A7">
        <v>15</v>
      </c>
      <c r="B7">
        <v>1.83</v>
      </c>
      <c r="C7">
        <v>1.24</v>
      </c>
      <c r="D7">
        <v>4</v>
      </c>
      <c r="E7">
        <v>-0.46</v>
      </c>
    </row>
    <row r="8" spans="1:5">
      <c r="A8">
        <v>16</v>
      </c>
      <c r="B8">
        <v>1.67</v>
      </c>
      <c r="C8">
        <v>1.33</v>
      </c>
      <c r="D8">
        <v>4</v>
      </c>
      <c r="E8">
        <v>-0.37</v>
      </c>
    </row>
    <row r="9" spans="1:5">
      <c r="A9">
        <v>17</v>
      </c>
      <c r="B9">
        <v>2</v>
      </c>
      <c r="C9">
        <v>1.07</v>
      </c>
      <c r="D9">
        <v>1</v>
      </c>
      <c r="E9">
        <v>0.17</v>
      </c>
    </row>
    <row r="10" spans="1:5">
      <c r="A10">
        <v>18</v>
      </c>
      <c r="B10">
        <v>1.9</v>
      </c>
      <c r="C10">
        <v>1.1299999999999999</v>
      </c>
      <c r="D10">
        <v>1</v>
      </c>
      <c r="E10">
        <v>0.1</v>
      </c>
    </row>
    <row r="11" spans="1:5">
      <c r="A11">
        <v>19</v>
      </c>
      <c r="B11">
        <v>1.87</v>
      </c>
      <c r="C11">
        <v>1.36</v>
      </c>
      <c r="D11">
        <v>1</v>
      </c>
      <c r="E11">
        <v>0.26</v>
      </c>
    </row>
    <row r="12" spans="1:5">
      <c r="A12">
        <v>23</v>
      </c>
      <c r="B12">
        <v>1.7</v>
      </c>
      <c r="C12">
        <v>1.2</v>
      </c>
      <c r="D12">
        <v>4</v>
      </c>
      <c r="E12">
        <v>-0.3</v>
      </c>
    </row>
    <row r="13" spans="1:5">
      <c r="A13">
        <v>24</v>
      </c>
      <c r="B13">
        <v>1.97</v>
      </c>
      <c r="C13">
        <v>1.43</v>
      </c>
      <c r="D13">
        <v>1</v>
      </c>
      <c r="E13">
        <v>0.33</v>
      </c>
    </row>
    <row r="14" spans="1:5">
      <c r="A14">
        <v>26</v>
      </c>
      <c r="B14">
        <v>1.93</v>
      </c>
      <c r="C14">
        <v>1.2</v>
      </c>
      <c r="D14">
        <v>1</v>
      </c>
      <c r="E14">
        <v>0.06</v>
      </c>
    </row>
    <row r="15" spans="1:5">
      <c r="A15">
        <v>27</v>
      </c>
      <c r="B15">
        <v>1.43</v>
      </c>
      <c r="C15">
        <v>1.27</v>
      </c>
      <c r="D15">
        <v>4</v>
      </c>
      <c r="E15">
        <v>-0.3</v>
      </c>
    </row>
    <row r="16" spans="1:5">
      <c r="A16">
        <v>28</v>
      </c>
      <c r="B16">
        <v>1.87</v>
      </c>
      <c r="C16">
        <v>1.06</v>
      </c>
      <c r="D16">
        <v>1</v>
      </c>
      <c r="E16">
        <v>0.1</v>
      </c>
    </row>
    <row r="17" spans="1:5">
      <c r="A17">
        <v>29</v>
      </c>
      <c r="B17">
        <v>1.67</v>
      </c>
      <c r="C17">
        <v>1.26</v>
      </c>
      <c r="D17">
        <v>4</v>
      </c>
      <c r="E17">
        <v>-0.14000000000000001</v>
      </c>
    </row>
    <row r="18" spans="1:5">
      <c r="A18">
        <v>30</v>
      </c>
      <c r="B18">
        <v>1.7</v>
      </c>
      <c r="C18">
        <v>1.1299999999999999</v>
      </c>
      <c r="D18">
        <v>4</v>
      </c>
      <c r="E18">
        <v>-0.37</v>
      </c>
    </row>
    <row r="19" spans="1:5">
      <c r="A19">
        <v>34</v>
      </c>
      <c r="B19">
        <v>2.0699999999999998</v>
      </c>
      <c r="C19">
        <v>1.1299999999999999</v>
      </c>
      <c r="D19">
        <v>1</v>
      </c>
      <c r="E19">
        <v>0.1</v>
      </c>
    </row>
    <row r="20" spans="1:5">
      <c r="A20">
        <v>35</v>
      </c>
      <c r="B20">
        <v>1.87</v>
      </c>
      <c r="C20">
        <v>1.73</v>
      </c>
      <c r="D20">
        <v>1</v>
      </c>
      <c r="E20">
        <v>0.63</v>
      </c>
    </row>
    <row r="21" spans="1:5">
      <c r="A21">
        <v>36</v>
      </c>
      <c r="B21">
        <v>1.87</v>
      </c>
      <c r="C21">
        <v>1.1299999999999999</v>
      </c>
      <c r="D21">
        <v>1</v>
      </c>
      <c r="E21">
        <v>0.13</v>
      </c>
    </row>
    <row r="22" spans="1:5">
      <c r="A22">
        <v>37</v>
      </c>
      <c r="B22">
        <v>1.77</v>
      </c>
      <c r="C22">
        <v>1.2</v>
      </c>
      <c r="D22">
        <v>4</v>
      </c>
      <c r="E22">
        <v>-0.13</v>
      </c>
    </row>
    <row r="23" spans="1:5">
      <c r="A23">
        <v>39</v>
      </c>
      <c r="B23">
        <v>1.87</v>
      </c>
      <c r="C23">
        <v>1.1299999999999999</v>
      </c>
      <c r="D23">
        <v>1</v>
      </c>
      <c r="E23">
        <v>0.03</v>
      </c>
    </row>
    <row r="24" spans="1:5">
      <c r="A24">
        <v>41</v>
      </c>
      <c r="B24">
        <v>1.83</v>
      </c>
      <c r="C24">
        <v>1.17</v>
      </c>
      <c r="D24">
        <v>1</v>
      </c>
      <c r="E24">
        <v>7.0000000000000007E-2</v>
      </c>
    </row>
    <row r="25" spans="1:5">
      <c r="A25" s="3">
        <v>42</v>
      </c>
      <c r="B25" s="3">
        <v>1.9</v>
      </c>
      <c r="C25" s="3">
        <v>0.93</v>
      </c>
      <c r="D25" s="3">
        <v>1</v>
      </c>
      <c r="E25" s="3">
        <v>7.0000000000000007E-2</v>
      </c>
    </row>
    <row r="26" spans="1:5">
      <c r="A26" t="s">
        <v>93</v>
      </c>
      <c r="B26" s="2">
        <f>AVERAGE(B2:B25)</f>
        <v>1.7841666666666665</v>
      </c>
      <c r="C26" s="2">
        <f>AVERAGE(C2:C25)</f>
        <v>1.2066666666666663</v>
      </c>
    </row>
    <row r="27" spans="1:5">
      <c r="A27" t="s">
        <v>94</v>
      </c>
      <c r="B27" s="2">
        <f>_xlfn.STDEV.S(B2:B25)</f>
        <v>0.17793297875193412</v>
      </c>
      <c r="C27" s="2">
        <f>_xlfn.STDEV.S(C2:C25)</f>
        <v>0.17168390232878847</v>
      </c>
    </row>
    <row r="28" spans="1:5">
      <c r="A28" t="s">
        <v>98</v>
      </c>
      <c r="B28">
        <f>MAX(B2:B25)</f>
        <v>2.0699999999999998</v>
      </c>
      <c r="C28">
        <f>MAX(C2:C25)</f>
        <v>1.73</v>
      </c>
    </row>
    <row r="29" spans="1:5">
      <c r="A29" t="s">
        <v>99</v>
      </c>
      <c r="B29">
        <f>MIN(B2:B25)</f>
        <v>1.43</v>
      </c>
      <c r="C29">
        <f>MIN(C2:C25)</f>
        <v>0.83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Trial-level data</vt:lpstr>
      <vt:lpstr>Participant-level summary data</vt:lpstr>
      <vt:lpstr>Characteristics of 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2025-05-03T17:32:58Z</dcterms:created>
  <dcterms:modified xsi:type="dcterms:W3CDTF">2025-09-21T07:50:37Z</dcterms:modified>
</cp:coreProperties>
</file>